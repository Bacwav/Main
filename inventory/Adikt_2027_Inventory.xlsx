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Current Stock" sheetId="3" state="visible" r:id="rId5"/>
    <sheet name="2027 Plan" sheetId="4" state="visible" r:id="rId6"/>
    <sheet name="Monthly History" sheetId="5" state="visible" r:id="rId7"/>
    <sheet name="Monthly 2027" sheetId="6" state="visible" r:id="rId8"/>
  </sheets>
  <definedNames>
    <definedName function="false" hidden="true" localSheetId="3" name="_xlnm._FilterDatabase" vbProcedure="false">'2027 Plan'!$A$4:$N$26</definedName>
    <definedName function="false" hidden="true" localSheetId="2" name="_xlnm._FilterDatabase" vbProcedure="false">'Current Stock'!$A$3:$H$98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Source: Shopify Analytics, FROM sales SHOW net_items_sold GROUP BY product_title, product_variant_title SINCE -365d</t>
        </r>
      </text>
    </comment>
    <comment ref="G13" authorId="0">
      <text>
        <r>
          <rPr>
            <sz val="10"/>
            <rFont val="Arial"/>
            <family val="2"/>
          </rPr>
          <t xml:space="preserve">Source: Shopify Analytics, FROM sales SHOW net_items_sold GROUP BY product_title, product_variant_title SINCE -365d</t>
        </r>
      </text>
    </comment>
    <comment ref="G14" authorId="0">
      <text>
        <r>
          <rPr>
            <sz val="10"/>
            <rFont val="Arial"/>
            <family val="2"/>
          </rPr>
          <t xml:space="preserve">Source: Shopify Analytics, FROM sales SHOW net_items_sold GROUP BY product_title, product_variant_title SINCE -365d</t>
        </r>
      </text>
    </comment>
    <comment ref="G15" authorId="0">
      <text>
        <r>
          <rPr>
            <sz val="10"/>
            <rFont val="Arial"/>
            <family val="2"/>
          </rPr>
          <t xml:space="preserve">Source: Shopify Analytics, FROM sales SHOW net_items_sold GROUP BY product_title, product_variant_title SINCE -365d</t>
        </r>
      </text>
    </comment>
    <comment ref="G16" authorId="0">
      <text>
        <r>
          <rPr>
            <sz val="10"/>
            <rFont val="Arial"/>
            <family val="2"/>
          </rPr>
          <t xml:space="preserve">Source: Shopify Analytics, FROM sales SHOW net_items_sold GROUP BY product_title, product_variant_title SINCE -365d</t>
        </r>
      </text>
    </comment>
    <comment ref="G19" authorId="0">
      <text>
        <r>
          <rPr>
            <sz val="10"/>
            <rFont val="Arial"/>
            <family val="2"/>
          </rPr>
          <t xml:space="preserve">Source: Shopify Analytics, FROM sales SHOW net_items_sold GROUP BY product_title, product_variant_title SINCE -365d</t>
        </r>
      </text>
    </comment>
    <comment ref="G22" authorId="0">
      <text>
        <r>
          <rPr>
            <sz val="10"/>
            <rFont val="Arial"/>
            <family val="2"/>
          </rPr>
          <t xml:space="preserve">Source: Shopify Analytics, FROM sales SHOW net_items_sold GROUP BY product_title, product_variant_title SINCE -365d</t>
        </r>
      </text>
    </comment>
    <comment ref="G23" authorId="0">
      <text>
        <r>
          <rPr>
            <sz val="10"/>
            <rFont val="Arial"/>
            <family val="2"/>
          </rPr>
          <t xml:space="preserve">Source: Shopify Analytics, FROM sales SHOW net_items_sold GROUP BY product_title, product_variant_title SINCE -365d</t>
        </r>
      </text>
    </comment>
    <comment ref="G24" authorId="0">
      <text>
        <r>
          <rPr>
            <sz val="10"/>
            <rFont val="Arial"/>
            <family val="2"/>
          </rPr>
          <t xml:space="preserve">Source: Shopify Analytics, FROM sales SHOW net_items_sold GROUP BY product_title, product_variant_title SINCE -365d</t>
        </r>
      </text>
    </comment>
    <comment ref="G26" authorId="0">
      <text>
        <r>
          <rPr>
            <sz val="10"/>
            <rFont val="Arial"/>
            <family val="2"/>
          </rPr>
          <t xml:space="preserve">Source: Shopify Analytics, FROM sales SHOW net_items_sold GROUP BY product_title, product_variant_title SINCE -365d</t>
        </r>
      </text>
    </comment>
  </commentList>
</comments>
</file>

<file path=xl/sharedStrings.xml><?xml version="1.0" encoding="utf-8"?>
<sst xmlns="http://schemas.openxmlformats.org/spreadsheetml/2006/main" count="470" uniqueCount="161">
  <si>
    <t xml:space="preserve">Adikt — 2027 Inventory</t>
  </si>
  <si>
    <t xml:space="preserve">Snapshot from Shopify on 9 Oct 2026 plus a 2027 reorder plan. Inputs live on 'Assumptions' (yellow cells).</t>
  </si>
  <si>
    <t xml:space="preserve">Metric</t>
  </si>
  <si>
    <t xml:space="preserve">Value</t>
  </si>
  <si>
    <t xml:space="preserve">Units on hand (all products)</t>
  </si>
  <si>
    <t xml:space="preserve">Retail value on hand</t>
  </si>
  <si>
    <t xml:space="preserve">Units on hand — Active products</t>
  </si>
  <si>
    <t xml:space="preserve">Units on hand — Archived / Draft (dead stock to clear)</t>
  </si>
  <si>
    <t xml:space="preserve">Retail value — Archived / Draft</t>
  </si>
  <si>
    <t xml:space="preserve">Units sold, trailing 12 months (all)</t>
  </si>
  <si>
    <t xml:space="preserve">2027 demand forecast — Active SKUs</t>
  </si>
  <si>
    <t xml:space="preserve">Reorder units needed for 2027</t>
  </si>
  <si>
    <t xml:space="preserve">Reorder value at retail</t>
  </si>
  <si>
    <t xml:space="preserve">Active variants out of stock</t>
  </si>
  <si>
    <t xml:space="preserve">Demand growth assumption</t>
  </si>
  <si>
    <t xml:space="preserve">2027 Inventory Plan — Assumptions</t>
  </si>
  <si>
    <t xml:space="preserve">Adikt (adikt.site). Shopify data pulled 2026-10-09. Yellow cells are inputs: change them and every sheet recalculates.</t>
  </si>
  <si>
    <t xml:space="preserve">Assumption</t>
  </si>
  <si>
    <t xml:space="preserve">Note</t>
  </si>
  <si>
    <t xml:space="preserve">Demand growth for 2027 vs. trailing 12 months</t>
  </si>
  <si>
    <t xml:space="preserve">Placeholder. Set to your own expectation (e.g. new drops, ad spend).</t>
  </si>
  <si>
    <t xml:space="preserve">Safety stock (months of demand held as buffer)</t>
  </si>
  <si>
    <t xml:space="preserve">Covers supplier delays and a viral spike. 2 months is a common starting point for small apparel brands.</t>
  </si>
  <si>
    <t xml:space="preserve">Supplier lead time (months)</t>
  </si>
  <si>
    <t xml:space="preserve">Placeholder: time from placing a reorder to stock on shelf. Printed in Houston per product descriptions; adjust to your vendor.</t>
  </si>
  <si>
    <t xml:space="preserve">Max months of sales history used</t>
  </si>
  <si>
    <t xml:space="preserve">Trailing window for the sales rate. Newer products use months since launch instead (min 1).</t>
  </si>
  <si>
    <t xml:space="preserve">Plan date (today)</t>
  </si>
  <si>
    <t xml:space="preserve">Date the Shopify data was pulled.</t>
  </si>
  <si>
    <t xml:space="preserve">Data notes</t>
  </si>
  <si>
    <t xml:space="preserve">• Sales = Shopify Analytics net items sold, 9 Oct 2025 – 9 Oct 2026, per product/variant.</t>
  </si>
  <si>
    <t xml:space="preserve">• 47 units ($2,650 net) in that window have no product title in Shopify Analytics (deleted products or custom line items). They are excluded from per-SKU forecasts but included in the Monthly History totals.</t>
  </si>
  <si>
    <t xml:space="preserve">• Stock = Shopify inventoryQuantity summed across locations, 9 Oct 2026. Negative/zero stock shows as '-'.</t>
  </si>
  <si>
    <t xml:space="preserve">• Archived products are listed on 'Current Stock' (they still hold units) but are not planned for 2027 unless you set them back to Active.</t>
  </si>
  <si>
    <t xml:space="preserve">• Seasonality on 'Monthly 2027' is the share of the last 24 months' units sold in each calendar month.</t>
  </si>
  <si>
    <t xml:space="preserve">Current Stock by Variant — 9 Oct 2026</t>
  </si>
  <si>
    <t xml:space="preserve">Product</t>
  </si>
  <si>
    <t xml:space="preserve">Variant</t>
  </si>
  <si>
    <t xml:space="preserve">SKU</t>
  </si>
  <si>
    <t xml:space="preserve">Status</t>
  </si>
  <si>
    <t xml:space="preserve">Type</t>
  </si>
  <si>
    <t xml:space="preserve">Price ($)</t>
  </si>
  <si>
    <t xml:space="preserve">On hand (units)</t>
  </si>
  <si>
    <t xml:space="preserve">Retail value ($)</t>
  </si>
  <si>
    <t xml:space="preserve">"JOJO" Vintage Black Hoodie</t>
  </si>
  <si>
    <t xml:space="preserve">S</t>
  </si>
  <si>
    <t xml:space="preserve">Active</t>
  </si>
  <si>
    <t xml:space="preserve">Hoodie</t>
  </si>
  <si>
    <t xml:space="preserve">M</t>
  </si>
  <si>
    <t xml:space="preserve">L</t>
  </si>
  <si>
    <t xml:space="preserve">XL</t>
  </si>
  <si>
    <t xml:space="preserve">ADIKT Blue Washed Zip Up</t>
  </si>
  <si>
    <t xml:space="preserve">ADIKT Crew Socks – Pink</t>
  </si>
  <si>
    <t xml:space="preserve">Pink</t>
  </si>
  <si>
    <t xml:space="preserve">PINK-CS</t>
  </si>
  <si>
    <t xml:space="preserve">Socks</t>
  </si>
  <si>
    <t xml:space="preserve">ADIKT Crew Socks – Red</t>
  </si>
  <si>
    <t xml:space="preserve">Red</t>
  </si>
  <si>
    <t xml:space="preserve">RED-CS</t>
  </si>
  <si>
    <t xml:space="preserve">ADIKT Crew Socks – White</t>
  </si>
  <si>
    <t xml:space="preserve">White</t>
  </si>
  <si>
    <t xml:space="preserve">WHT-CS</t>
  </si>
  <si>
    <t xml:space="preserve">ADIKT Crew Socks – Yellow</t>
  </si>
  <si>
    <t xml:space="preserve">Yellow</t>
  </si>
  <si>
    <t xml:space="preserve">SFT-YLL-CS</t>
  </si>
  <si>
    <t xml:space="preserve">ADIKT Navy Mesh Retro Gym Shorts</t>
  </si>
  <si>
    <t xml:space="preserve">Shorts</t>
  </si>
  <si>
    <t xml:space="preserve">XXL</t>
  </si>
  <si>
    <t xml:space="preserve">ADIKT Red Racing Zip Up</t>
  </si>
  <si>
    <t xml:space="preserve">DESERT CAMO TEE</t>
  </si>
  <si>
    <t xml:space="preserve">Draft</t>
  </si>
  <si>
    <t xml:space="preserve">"AADIKT©" WHITE</t>
  </si>
  <si>
    <t xml:space="preserve">Archived</t>
  </si>
  <si>
    <t xml:space="preserve">"FOR YOU" BOXY TEE</t>
  </si>
  <si>
    <t xml:space="preserve">"GOLD ADIKT©" HEAVYWEIGHT TEE</t>
  </si>
  <si>
    <t xml:space="preserve">Large</t>
  </si>
  <si>
    <t xml:space="preserve">"LANGE LEVE" ZIP UP HOODIE</t>
  </si>
  <si>
    <t xml:space="preserve">'ADIKT' L/S Shirt</t>
  </si>
  <si>
    <t xml:space="preserve">'ADIKT' T-SHIRT</t>
  </si>
  <si>
    <t xml:space="preserve">'FLOWER' T-SHIRT</t>
  </si>
  <si>
    <t xml:space="preserve">'JOJO' Hoodie Red</t>
  </si>
  <si>
    <t xml:space="preserve">'KING' BLACK T SHIRT</t>
  </si>
  <si>
    <t xml:space="preserve">Small</t>
  </si>
  <si>
    <t xml:space="preserve">X-Large</t>
  </si>
  <si>
    <t xml:space="preserve">'KING' GRAY T SHIRT</t>
  </si>
  <si>
    <t xml:space="preserve">'KING' NAVY T SHIRT</t>
  </si>
  <si>
    <t xml:space="preserve">ADIKT POLYESTER SHORTS</t>
  </si>
  <si>
    <t xml:space="preserve">BLACK "Pendant" TEE</t>
  </si>
  <si>
    <t xml:space="preserve">BLUE S.Y.L.A TEE</t>
  </si>
  <si>
    <t xml:space="preserve">BLUE ZIP UP HOODIE</t>
  </si>
  <si>
    <t xml:space="preserve">CREAM S.Y.L.A TEE</t>
  </si>
  <si>
    <t xml:space="preserve">GRAY ZIP UP HOODIE</t>
  </si>
  <si>
    <t xml:space="preserve">LOCAL ADIKT ZIP UP</t>
  </si>
  <si>
    <t xml:space="preserve">ORANGE S.Y.L.A TEE</t>
  </si>
  <si>
    <t xml:space="preserve">PINK ZIP UP HOODIE</t>
  </si>
  <si>
    <t xml:space="preserve">RED S.Y.L.A TEE</t>
  </si>
  <si>
    <t xml:space="preserve">TIFFANY “Pendant” TEE</t>
  </si>
  <si>
    <t xml:space="preserve">WHITE Unstructured Hat V1</t>
  </si>
  <si>
    <t xml:space="preserve">Default Title</t>
  </si>
  <si>
    <t xml:space="preserve">‘CAMO’ LONG SLEEVE</t>
  </si>
  <si>
    <t xml:space="preserve">‘METALLIC’ T-SHIRT</t>
  </si>
  <si>
    <t xml:space="preserve">Total</t>
  </si>
  <si>
    <t xml:space="preserve">Of which Active</t>
  </si>
  <si>
    <t xml:space="preserve">Of which Archived / Draft</t>
  </si>
  <si>
    <t xml:space="preserve">2027 Reorder Plan — Active Products</t>
  </si>
  <si>
    <t xml:space="preserve">Reorder qty = 2027 demand + safety stock − on hand. Lead-time demand flags variants that run out before a reorder can land.</t>
  </si>
  <si>
    <t xml:space="preserve">Launched</t>
  </si>
  <si>
    <t xml:space="preserve">Months of history</t>
  </si>
  <si>
    <t xml:space="preserve">Units sold (trailing 12 mo)</t>
  </si>
  <si>
    <t xml:space="preserve">Monthly sales rate</t>
  </si>
  <si>
    <t xml:space="preserve">2027 demand (units)</t>
  </si>
  <si>
    <t xml:space="preserve">Safety stock (units)</t>
  </si>
  <si>
    <t xml:space="preserve">Reorder qty for 2027</t>
  </si>
  <si>
    <t xml:space="preserve">Reorder cost at retail ($)</t>
  </si>
  <si>
    <t xml:space="preserve">Months of cover now</t>
  </si>
  <si>
    <t xml:space="preserve">Monthly Sales — Oct 2024 to Sep 2026 (all products)</t>
  </si>
  <si>
    <t xml:space="preserve">Month</t>
  </si>
  <si>
    <t xml:space="preserve">Units sold</t>
  </si>
  <si>
    <t xml:space="preserve">Net sales ($)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</si>
  <si>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</si>
  <si>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</si>
  <si>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</si>
  <si>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</si>
  <si>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</si>
  <si>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</si>
  <si>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</si>
  <si>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</si>
  <si>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</si>
  <si>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</si>
  <si>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</si>
  <si>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</si>
  <si>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</si>
  <si>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</si>
  <si>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</si>
  <si>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</si>
  <si>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</si>
  <si>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</si>
  <si>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</si>
  <si>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</si>
  <si>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</si>
  <si>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</si>
  <si>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</si>
  <si>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</si>
  <si>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Source: Shopify Analytics, FROM sales SHOW net_items_sold, net_sales TIMESERIES month. October 2026 omitted (month in progress).</t>
  </si>
  <si>
    <t xml:space="preserve">2027 Demand by Month (planned SKUs)</t>
  </si>
  <si>
    <t xml:space="preserve">Spreads total 2027 demand from '2027 Plan' using your 24-month seasonality. Use it to time production runs before peaks.</t>
  </si>
  <si>
    <t xml:space="preserve">Units sold, last 24 mo</t>
  </si>
  <si>
    <t xml:space="preserve">Seasonality share</t>
  </si>
  <si>
    <t xml:space="preserve">Cumulative demand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</si>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</sst>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#,##0.0;\(#,##0.0\);\-"/>
    <numFmt numFmtId="169" formatCode="yyyy\-mm\-dd"/>
    <numFmt numFmtId="170" formatCode="\$#,##0.00;&quot;($&quot;#,##0.00\);\-"/>
    <numFmt numFmtId="171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CACA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1B1B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30" hidden="false" customHeight="true" outlineLevel="0" collapsed="false">
      <c r="A4" s="4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n">
        <f aca="false">'Current Stock'!G99</f>
        <v>686</v>
      </c>
    </row>
    <row r="6" customFormat="false" ht="15" hidden="false" customHeight="false" outlineLevel="0" collapsed="false">
      <c r="A6" s="5" t="s">
        <v>5</v>
      </c>
      <c r="B6" s="7" t="n">
        <f aca="false">'Current Stock'!H99</f>
        <v>20275.99</v>
      </c>
    </row>
    <row r="7" customFormat="false" ht="15" hidden="false" customHeight="false" outlineLevel="0" collapsed="false">
      <c r="A7" s="5" t="s">
        <v>6</v>
      </c>
      <c r="B7" s="6" t="n">
        <f aca="false">'Current Stock'!G100</f>
        <v>450</v>
      </c>
    </row>
    <row r="8" customFormat="false" ht="15" hidden="false" customHeight="false" outlineLevel="0" collapsed="false">
      <c r="A8" s="5" t="s">
        <v>7</v>
      </c>
      <c r="B8" s="6" t="n">
        <f aca="false">'Current Stock'!G101</f>
        <v>236</v>
      </c>
    </row>
    <row r="9" customFormat="false" ht="15" hidden="false" customHeight="false" outlineLevel="0" collapsed="false">
      <c r="A9" s="5" t="s">
        <v>8</v>
      </c>
      <c r="B9" s="7" t="n">
        <f aca="false">'Current Stock'!H101</f>
        <v>12100.99</v>
      </c>
    </row>
    <row r="10" customFormat="false" ht="15" hidden="false" customHeight="false" outlineLevel="0" collapsed="false">
      <c r="A10" s="5" t="s">
        <v>9</v>
      </c>
      <c r="B10" s="6" t="n">
        <f aca="false">SUM('Monthly History'!B16:B27)</f>
        <v>118</v>
      </c>
    </row>
    <row r="11" customFormat="false" ht="15" hidden="false" customHeight="false" outlineLevel="0" collapsed="false">
      <c r="A11" s="5" t="s">
        <v>10</v>
      </c>
      <c r="B11" s="6" t="n">
        <f aca="false">'2027 Plan'!I27</f>
        <v>136</v>
      </c>
    </row>
    <row r="12" customFormat="false" ht="15" hidden="false" customHeight="false" outlineLevel="0" collapsed="false">
      <c r="A12" s="5" t="s">
        <v>11</v>
      </c>
      <c r="B12" s="6" t="n">
        <f aca="false">'2027 Plan'!K27</f>
        <v>28</v>
      </c>
    </row>
    <row r="13" customFormat="false" ht="15" hidden="false" customHeight="false" outlineLevel="0" collapsed="false">
      <c r="A13" s="5" t="s">
        <v>12</v>
      </c>
      <c r="B13" s="7" t="n">
        <f aca="false">'2027 Plan'!L27</f>
        <v>2905</v>
      </c>
    </row>
    <row r="14" customFormat="false" ht="15" hidden="false" customHeight="false" outlineLevel="0" collapsed="false">
      <c r="A14" s="5" t="s">
        <v>13</v>
      </c>
      <c r="B14" s="6" t="n">
        <f aca="false">COUNTIF('2027 Plan'!N5:N26,"OUT*")</f>
        <v>4</v>
      </c>
    </row>
    <row r="15" customFormat="false" ht="15" hidden="false" customHeight="false" outlineLevel="0" collapsed="false">
      <c r="A15" s="5" t="s">
        <v>14</v>
      </c>
      <c r="B15" s="8" t="n">
        <f aca="false">Assumptions!$B$5</f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15</v>
      </c>
      <c r="B1" s="2"/>
      <c r="C1" s="2"/>
    </row>
    <row r="2" customFormat="false" ht="15" hidden="false" customHeight="false" outlineLevel="0" collapsed="false">
      <c r="A2" s="3" t="s">
        <v>16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30" hidden="false" customHeight="true" outlineLevel="0" collapsed="false">
      <c r="A4" s="4" t="s">
        <v>17</v>
      </c>
      <c r="B4" s="4" t="s">
        <v>3</v>
      </c>
      <c r="C4" s="4" t="s">
        <v>18</v>
      </c>
    </row>
    <row r="5" customFormat="false" ht="15" hidden="false" customHeight="false" outlineLevel="0" collapsed="false">
      <c r="A5" s="5" t="s">
        <v>19</v>
      </c>
      <c r="B5" s="9" t="n">
        <v>0.2</v>
      </c>
      <c r="C5" s="5" t="s">
        <v>20</v>
      </c>
    </row>
    <row r="6" customFormat="false" ht="15" hidden="false" customHeight="false" outlineLevel="0" collapsed="false">
      <c r="A6" s="5" t="s">
        <v>21</v>
      </c>
      <c r="B6" s="10" t="n">
        <v>2</v>
      </c>
      <c r="C6" s="5" t="s">
        <v>22</v>
      </c>
    </row>
    <row r="7" customFormat="false" ht="15" hidden="false" customHeight="false" outlineLevel="0" collapsed="false">
      <c r="A7" s="5" t="s">
        <v>23</v>
      </c>
      <c r="B7" s="10" t="n">
        <v>1</v>
      </c>
      <c r="C7" s="5" t="s">
        <v>24</v>
      </c>
    </row>
    <row r="8" customFormat="false" ht="15" hidden="false" customHeight="false" outlineLevel="0" collapsed="false">
      <c r="A8" s="5" t="s">
        <v>25</v>
      </c>
      <c r="B8" s="11" t="n">
        <v>12</v>
      </c>
      <c r="C8" s="5" t="s">
        <v>26</v>
      </c>
    </row>
    <row r="9" customFormat="false" ht="15" hidden="false" customHeight="false" outlineLevel="0" collapsed="false">
      <c r="A9" s="5" t="s">
        <v>27</v>
      </c>
      <c r="B9" s="12" t="n">
        <v>46304</v>
      </c>
      <c r="C9" s="5" t="s">
        <v>28</v>
      </c>
    </row>
    <row r="10" customFormat="false" ht="15" hidden="false" customHeight="false" outlineLevel="0" collapsed="false">
      <c r="A10" s="2"/>
      <c r="B10" s="2"/>
      <c r="C10" s="2"/>
    </row>
    <row r="11" customFormat="false" ht="15" hidden="false" customHeight="false" outlineLevel="0" collapsed="false">
      <c r="A11" s="13" t="s">
        <v>29</v>
      </c>
      <c r="B11" s="2"/>
      <c r="C11" s="2"/>
    </row>
    <row r="12" customFormat="false" ht="15" hidden="false" customHeight="false" outlineLevel="0" collapsed="false">
      <c r="A12" s="5" t="s">
        <v>30</v>
      </c>
      <c r="B12" s="2"/>
      <c r="C12" s="2"/>
    </row>
    <row r="13" customFormat="false" ht="15" hidden="false" customHeight="false" outlineLevel="0" collapsed="false">
      <c r="A13" s="5" t="s">
        <v>31</v>
      </c>
      <c r="B13" s="2"/>
      <c r="C13" s="2"/>
    </row>
    <row r="14" customFormat="false" ht="15" hidden="false" customHeight="false" outlineLevel="0" collapsed="false">
      <c r="A14" s="5" t="s">
        <v>32</v>
      </c>
      <c r="B14" s="2"/>
      <c r="C14" s="2"/>
    </row>
    <row r="15" customFormat="false" ht="15" hidden="false" customHeight="false" outlineLevel="0" collapsed="false">
      <c r="A15" s="5" t="s">
        <v>33</v>
      </c>
      <c r="B15" s="2"/>
      <c r="C15" s="2"/>
    </row>
    <row r="16" customFormat="false" ht="15" hidden="false" customHeight="false" outlineLevel="0" collapsed="false">
      <c r="A16" s="5" t="s">
        <v>34</v>
      </c>
      <c r="B16" s="2"/>
      <c r="C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35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</row>
    <row r="4" customFormat="false" ht="15" hidden="false" customHeight="false" outlineLevel="0" collapsed="false">
      <c r="A4" s="14" t="s">
        <v>44</v>
      </c>
      <c r="B4" s="14" t="s">
        <v>45</v>
      </c>
      <c r="C4" s="14"/>
      <c r="D4" s="14" t="s">
        <v>46</v>
      </c>
      <c r="E4" s="14" t="s">
        <v>47</v>
      </c>
      <c r="F4" s="15" t="n">
        <v>80</v>
      </c>
      <c r="G4" s="16" t="n">
        <v>3</v>
      </c>
      <c r="H4" s="17" t="n">
        <f aca="false">F4*G4</f>
        <v>240</v>
      </c>
    </row>
    <row r="5" customFormat="false" ht="15" hidden="false" customHeight="false" outlineLevel="0" collapsed="false">
      <c r="A5" s="14" t="s">
        <v>44</v>
      </c>
      <c r="B5" s="14" t="s">
        <v>48</v>
      </c>
      <c r="C5" s="14"/>
      <c r="D5" s="14" t="s">
        <v>46</v>
      </c>
      <c r="E5" s="14" t="s">
        <v>47</v>
      </c>
      <c r="F5" s="15" t="n">
        <v>80</v>
      </c>
      <c r="G5" s="16" t="n">
        <v>4</v>
      </c>
      <c r="H5" s="17" t="n">
        <f aca="false">F5*G5</f>
        <v>320</v>
      </c>
    </row>
    <row r="6" customFormat="false" ht="15" hidden="false" customHeight="false" outlineLevel="0" collapsed="false">
      <c r="A6" s="14" t="s">
        <v>44</v>
      </c>
      <c r="B6" s="14" t="s">
        <v>49</v>
      </c>
      <c r="C6" s="14"/>
      <c r="D6" s="14" t="s">
        <v>46</v>
      </c>
      <c r="E6" s="14" t="s">
        <v>47</v>
      </c>
      <c r="F6" s="15" t="n">
        <v>80</v>
      </c>
      <c r="G6" s="16" t="n">
        <v>3</v>
      </c>
      <c r="H6" s="17" t="n">
        <f aca="false">F6*G6</f>
        <v>240</v>
      </c>
    </row>
    <row r="7" customFormat="false" ht="15" hidden="false" customHeight="false" outlineLevel="0" collapsed="false">
      <c r="A7" s="14" t="s">
        <v>44</v>
      </c>
      <c r="B7" s="14" t="s">
        <v>50</v>
      </c>
      <c r="C7" s="14"/>
      <c r="D7" s="14" t="s">
        <v>46</v>
      </c>
      <c r="E7" s="14" t="s">
        <v>47</v>
      </c>
      <c r="F7" s="15" t="n">
        <v>80</v>
      </c>
      <c r="G7" s="16" t="n">
        <v>2</v>
      </c>
      <c r="H7" s="17" t="n">
        <f aca="false">F7*G7</f>
        <v>160</v>
      </c>
    </row>
    <row r="8" customFormat="false" ht="15" hidden="false" customHeight="false" outlineLevel="0" collapsed="false">
      <c r="A8" s="14" t="s">
        <v>51</v>
      </c>
      <c r="B8" s="14" t="s">
        <v>45</v>
      </c>
      <c r="C8" s="14"/>
      <c r="D8" s="14" t="s">
        <v>46</v>
      </c>
      <c r="E8" s="14" t="s">
        <v>47</v>
      </c>
      <c r="F8" s="15" t="n">
        <v>80</v>
      </c>
      <c r="G8" s="16" t="n">
        <v>2</v>
      </c>
      <c r="H8" s="17" t="n">
        <f aca="false">F8*G8</f>
        <v>160</v>
      </c>
    </row>
    <row r="9" customFormat="false" ht="15" hidden="false" customHeight="false" outlineLevel="0" collapsed="false">
      <c r="A9" s="14" t="s">
        <v>51</v>
      </c>
      <c r="B9" s="14" t="s">
        <v>48</v>
      </c>
      <c r="C9" s="14"/>
      <c r="D9" s="14" t="s">
        <v>46</v>
      </c>
      <c r="E9" s="14" t="s">
        <v>47</v>
      </c>
      <c r="F9" s="15" t="n">
        <v>80</v>
      </c>
      <c r="G9" s="16" t="n">
        <v>2</v>
      </c>
      <c r="H9" s="17" t="n">
        <f aca="false">F9*G9</f>
        <v>160</v>
      </c>
    </row>
    <row r="10" customFormat="false" ht="15" hidden="false" customHeight="false" outlineLevel="0" collapsed="false">
      <c r="A10" s="14" t="s">
        <v>51</v>
      </c>
      <c r="B10" s="14" t="s">
        <v>49</v>
      </c>
      <c r="C10" s="14"/>
      <c r="D10" s="14" t="s">
        <v>46</v>
      </c>
      <c r="E10" s="14" t="s">
        <v>47</v>
      </c>
      <c r="F10" s="15" t="n">
        <v>80</v>
      </c>
      <c r="G10" s="16" t="n">
        <v>3</v>
      </c>
      <c r="H10" s="17" t="n">
        <f aca="false">F10*G10</f>
        <v>240</v>
      </c>
    </row>
    <row r="11" customFormat="false" ht="15" hidden="false" customHeight="false" outlineLevel="0" collapsed="false">
      <c r="A11" s="14" t="s">
        <v>51</v>
      </c>
      <c r="B11" s="14" t="s">
        <v>50</v>
      </c>
      <c r="C11" s="14"/>
      <c r="D11" s="14" t="s">
        <v>46</v>
      </c>
      <c r="E11" s="14" t="s">
        <v>47</v>
      </c>
      <c r="F11" s="15" t="n">
        <v>80</v>
      </c>
      <c r="G11" s="16" t="n">
        <v>2</v>
      </c>
      <c r="H11" s="17" t="n">
        <f aca="false">F11*G11</f>
        <v>160</v>
      </c>
    </row>
    <row r="12" customFormat="false" ht="15" hidden="false" customHeight="false" outlineLevel="0" collapsed="false">
      <c r="A12" s="14" t="s">
        <v>52</v>
      </c>
      <c r="B12" s="14" t="s">
        <v>53</v>
      </c>
      <c r="C12" s="14" t="s">
        <v>54</v>
      </c>
      <c r="D12" s="14" t="s">
        <v>46</v>
      </c>
      <c r="E12" s="14" t="s">
        <v>55</v>
      </c>
      <c r="F12" s="15" t="n">
        <v>10</v>
      </c>
      <c r="G12" s="16" t="n">
        <v>94</v>
      </c>
      <c r="H12" s="17" t="n">
        <f aca="false">F12*G12</f>
        <v>940</v>
      </c>
    </row>
    <row r="13" customFormat="false" ht="15" hidden="false" customHeight="false" outlineLevel="0" collapsed="false">
      <c r="A13" s="14" t="s">
        <v>56</v>
      </c>
      <c r="B13" s="14" t="s">
        <v>57</v>
      </c>
      <c r="C13" s="14" t="s">
        <v>58</v>
      </c>
      <c r="D13" s="14" t="s">
        <v>46</v>
      </c>
      <c r="E13" s="14" t="s">
        <v>55</v>
      </c>
      <c r="F13" s="15" t="n">
        <v>10</v>
      </c>
      <c r="G13" s="16" t="n">
        <v>91</v>
      </c>
      <c r="H13" s="17" t="n">
        <f aca="false">F13*G13</f>
        <v>910</v>
      </c>
    </row>
    <row r="14" customFormat="false" ht="15" hidden="false" customHeight="false" outlineLevel="0" collapsed="false">
      <c r="A14" s="14" t="s">
        <v>59</v>
      </c>
      <c r="B14" s="14" t="s">
        <v>60</v>
      </c>
      <c r="C14" s="14" t="s">
        <v>61</v>
      </c>
      <c r="D14" s="14" t="s">
        <v>46</v>
      </c>
      <c r="E14" s="14" t="s">
        <v>55</v>
      </c>
      <c r="F14" s="15" t="n">
        <v>10</v>
      </c>
      <c r="G14" s="16" t="n">
        <v>91</v>
      </c>
      <c r="H14" s="17" t="n">
        <f aca="false">F14*G14</f>
        <v>910</v>
      </c>
    </row>
    <row r="15" customFormat="false" ht="15" hidden="false" customHeight="false" outlineLevel="0" collapsed="false">
      <c r="A15" s="14" t="s">
        <v>62</v>
      </c>
      <c r="B15" s="14" t="s">
        <v>63</v>
      </c>
      <c r="C15" s="14" t="s">
        <v>64</v>
      </c>
      <c r="D15" s="14" t="s">
        <v>46</v>
      </c>
      <c r="E15" s="14" t="s">
        <v>55</v>
      </c>
      <c r="F15" s="15" t="n">
        <v>10</v>
      </c>
      <c r="G15" s="16" t="n">
        <v>90</v>
      </c>
      <c r="H15" s="17" t="n">
        <f aca="false">F15*G15</f>
        <v>900</v>
      </c>
    </row>
    <row r="16" customFormat="false" ht="15" hidden="false" customHeight="false" outlineLevel="0" collapsed="false">
      <c r="A16" s="14" t="s">
        <v>65</v>
      </c>
      <c r="B16" s="14" t="s">
        <v>45</v>
      </c>
      <c r="C16" s="14"/>
      <c r="D16" s="14" t="s">
        <v>46</v>
      </c>
      <c r="E16" s="14" t="s">
        <v>66</v>
      </c>
      <c r="F16" s="15" t="n">
        <v>45</v>
      </c>
      <c r="G16" s="16" t="n">
        <v>8</v>
      </c>
      <c r="H16" s="17" t="n">
        <f aca="false">F16*G16</f>
        <v>360</v>
      </c>
    </row>
    <row r="17" customFormat="false" ht="15" hidden="false" customHeight="false" outlineLevel="0" collapsed="false">
      <c r="A17" s="14" t="s">
        <v>65</v>
      </c>
      <c r="B17" s="14" t="s">
        <v>48</v>
      </c>
      <c r="C17" s="14"/>
      <c r="D17" s="14" t="s">
        <v>46</v>
      </c>
      <c r="E17" s="14" t="s">
        <v>66</v>
      </c>
      <c r="F17" s="15" t="n">
        <v>45</v>
      </c>
      <c r="G17" s="16" t="n">
        <v>15</v>
      </c>
      <c r="H17" s="17" t="n">
        <f aca="false">F17*G17</f>
        <v>675</v>
      </c>
    </row>
    <row r="18" customFormat="false" ht="15" hidden="false" customHeight="false" outlineLevel="0" collapsed="false">
      <c r="A18" s="14" t="s">
        <v>65</v>
      </c>
      <c r="B18" s="14" t="s">
        <v>49</v>
      </c>
      <c r="C18" s="14"/>
      <c r="D18" s="14" t="s">
        <v>46</v>
      </c>
      <c r="E18" s="14" t="s">
        <v>66</v>
      </c>
      <c r="F18" s="15" t="n">
        <v>45</v>
      </c>
      <c r="G18" s="16" t="n">
        <v>11</v>
      </c>
      <c r="H18" s="17" t="n">
        <f aca="false">F18*G18</f>
        <v>495</v>
      </c>
    </row>
    <row r="19" customFormat="false" ht="15" hidden="false" customHeight="false" outlineLevel="0" collapsed="false">
      <c r="A19" s="14" t="s">
        <v>65</v>
      </c>
      <c r="B19" s="14" t="s">
        <v>50</v>
      </c>
      <c r="C19" s="14"/>
      <c r="D19" s="14" t="s">
        <v>46</v>
      </c>
      <c r="E19" s="14" t="s">
        <v>66</v>
      </c>
      <c r="F19" s="15" t="n">
        <v>45</v>
      </c>
      <c r="G19" s="16" t="n">
        <v>21</v>
      </c>
      <c r="H19" s="17" t="n">
        <f aca="false">F19*G19</f>
        <v>945</v>
      </c>
    </row>
    <row r="20" customFormat="false" ht="15" hidden="false" customHeight="false" outlineLevel="0" collapsed="false">
      <c r="A20" s="14" t="s">
        <v>65</v>
      </c>
      <c r="B20" s="14" t="s">
        <v>67</v>
      </c>
      <c r="C20" s="14"/>
      <c r="D20" s="14" t="s">
        <v>46</v>
      </c>
      <c r="E20" s="14" t="s">
        <v>66</v>
      </c>
      <c r="F20" s="15" t="n">
        <v>45</v>
      </c>
      <c r="G20" s="16" t="n">
        <v>8</v>
      </c>
      <c r="H20" s="17" t="n">
        <f aca="false">F20*G20</f>
        <v>360</v>
      </c>
    </row>
    <row r="21" customFormat="false" ht="15" hidden="false" customHeight="false" outlineLevel="0" collapsed="false">
      <c r="A21" s="14" t="s">
        <v>68</v>
      </c>
      <c r="B21" s="14" t="s">
        <v>45</v>
      </c>
      <c r="C21" s="14"/>
      <c r="D21" s="14" t="s">
        <v>46</v>
      </c>
      <c r="E21" s="14" t="s">
        <v>47</v>
      </c>
      <c r="F21" s="15" t="n">
        <v>120</v>
      </c>
      <c r="G21" s="16" t="n">
        <v>0</v>
      </c>
      <c r="H21" s="17" t="n">
        <f aca="false">F21*G21</f>
        <v>0</v>
      </c>
    </row>
    <row r="22" customFormat="false" ht="15" hidden="false" customHeight="false" outlineLevel="0" collapsed="false">
      <c r="A22" s="14" t="s">
        <v>68</v>
      </c>
      <c r="B22" s="14" t="s">
        <v>48</v>
      </c>
      <c r="C22" s="14"/>
      <c r="D22" s="14" t="s">
        <v>46</v>
      </c>
      <c r="E22" s="14" t="s">
        <v>47</v>
      </c>
      <c r="F22" s="15" t="n">
        <v>120</v>
      </c>
      <c r="G22" s="16" t="n">
        <v>0</v>
      </c>
      <c r="H22" s="17" t="n">
        <f aca="false">F22*G22</f>
        <v>0</v>
      </c>
    </row>
    <row r="23" customFormat="false" ht="15" hidden="false" customHeight="false" outlineLevel="0" collapsed="false">
      <c r="A23" s="14" t="s">
        <v>68</v>
      </c>
      <c r="B23" s="14" t="s">
        <v>49</v>
      </c>
      <c r="C23" s="14"/>
      <c r="D23" s="14" t="s">
        <v>46</v>
      </c>
      <c r="E23" s="14" t="s">
        <v>47</v>
      </c>
      <c r="F23" s="15" t="n">
        <v>120</v>
      </c>
      <c r="G23" s="16" t="n">
        <v>0</v>
      </c>
      <c r="H23" s="17" t="n">
        <f aca="false">F23*G23</f>
        <v>0</v>
      </c>
    </row>
    <row r="24" customFormat="false" ht="15" hidden="false" customHeight="false" outlineLevel="0" collapsed="false">
      <c r="A24" s="14" t="s">
        <v>68</v>
      </c>
      <c r="B24" s="14" t="s">
        <v>50</v>
      </c>
      <c r="C24" s="14"/>
      <c r="D24" s="14" t="s">
        <v>46</v>
      </c>
      <c r="E24" s="14" t="s">
        <v>47</v>
      </c>
      <c r="F24" s="15" t="n">
        <v>120</v>
      </c>
      <c r="G24" s="16" t="n">
        <v>0</v>
      </c>
      <c r="H24" s="17" t="n">
        <f aca="false">F24*G24</f>
        <v>0</v>
      </c>
    </row>
    <row r="25" customFormat="false" ht="15" hidden="false" customHeight="false" outlineLevel="0" collapsed="false">
      <c r="A25" s="14" t="s">
        <v>68</v>
      </c>
      <c r="B25" s="14" t="s">
        <v>67</v>
      </c>
      <c r="C25" s="14"/>
      <c r="D25" s="14" t="s">
        <v>46</v>
      </c>
      <c r="E25" s="14" t="s">
        <v>47</v>
      </c>
      <c r="F25" s="15" t="n">
        <v>120</v>
      </c>
      <c r="G25" s="16" t="n">
        <v>0</v>
      </c>
      <c r="H25" s="17" t="n">
        <f aca="false">F25*G25</f>
        <v>0</v>
      </c>
    </row>
    <row r="26" customFormat="false" ht="15" hidden="false" customHeight="false" outlineLevel="0" collapsed="false">
      <c r="A26" s="14" t="s">
        <v>69</v>
      </c>
      <c r="B26" s="14" t="s">
        <v>45</v>
      </c>
      <c r="C26" s="14"/>
      <c r="D26" s="14" t="s">
        <v>70</v>
      </c>
      <c r="E26" s="14"/>
      <c r="F26" s="15" t="n">
        <v>45</v>
      </c>
      <c r="G26" s="16" t="n">
        <v>1</v>
      </c>
      <c r="H26" s="17" t="n">
        <f aca="false">F26*G26</f>
        <v>45</v>
      </c>
    </row>
    <row r="27" customFormat="false" ht="15" hidden="false" customHeight="false" outlineLevel="0" collapsed="false">
      <c r="A27" s="14" t="s">
        <v>69</v>
      </c>
      <c r="B27" s="14" t="s">
        <v>50</v>
      </c>
      <c r="C27" s="14"/>
      <c r="D27" s="14" t="s">
        <v>70</v>
      </c>
      <c r="E27" s="14"/>
      <c r="F27" s="15" t="n">
        <v>45</v>
      </c>
      <c r="G27" s="16" t="n">
        <v>1</v>
      </c>
      <c r="H27" s="17" t="n">
        <f aca="false">F27*G27</f>
        <v>45</v>
      </c>
    </row>
    <row r="28" customFormat="false" ht="15" hidden="false" customHeight="false" outlineLevel="0" collapsed="false">
      <c r="A28" s="14" t="s">
        <v>71</v>
      </c>
      <c r="B28" s="14" t="s">
        <v>45</v>
      </c>
      <c r="C28" s="14"/>
      <c r="D28" s="14" t="s">
        <v>72</v>
      </c>
      <c r="E28" s="14"/>
      <c r="F28" s="15" t="n">
        <v>30</v>
      </c>
      <c r="G28" s="16" t="n">
        <v>4</v>
      </c>
      <c r="H28" s="17" t="n">
        <f aca="false">F28*G28</f>
        <v>120</v>
      </c>
    </row>
    <row r="29" customFormat="false" ht="15" hidden="false" customHeight="false" outlineLevel="0" collapsed="false">
      <c r="A29" s="14" t="s">
        <v>71</v>
      </c>
      <c r="B29" s="14" t="s">
        <v>48</v>
      </c>
      <c r="C29" s="14"/>
      <c r="D29" s="14" t="s">
        <v>72</v>
      </c>
      <c r="E29" s="14"/>
      <c r="F29" s="15" t="n">
        <v>30</v>
      </c>
      <c r="G29" s="16" t="n">
        <v>4</v>
      </c>
      <c r="H29" s="17" t="n">
        <f aca="false">F29*G29</f>
        <v>120</v>
      </c>
    </row>
    <row r="30" customFormat="false" ht="15" hidden="false" customHeight="false" outlineLevel="0" collapsed="false">
      <c r="A30" s="14" t="s">
        <v>71</v>
      </c>
      <c r="B30" s="14" t="s">
        <v>49</v>
      </c>
      <c r="C30" s="14"/>
      <c r="D30" s="14" t="s">
        <v>72</v>
      </c>
      <c r="E30" s="14"/>
      <c r="F30" s="15" t="n">
        <v>30</v>
      </c>
      <c r="G30" s="16" t="n">
        <v>8</v>
      </c>
      <c r="H30" s="17" t="n">
        <f aca="false">F30*G30</f>
        <v>240</v>
      </c>
    </row>
    <row r="31" customFormat="false" ht="15" hidden="false" customHeight="false" outlineLevel="0" collapsed="false">
      <c r="A31" s="14" t="s">
        <v>71</v>
      </c>
      <c r="B31" s="14" t="s">
        <v>50</v>
      </c>
      <c r="C31" s="14"/>
      <c r="D31" s="14" t="s">
        <v>72</v>
      </c>
      <c r="E31" s="14"/>
      <c r="F31" s="15" t="n">
        <v>30</v>
      </c>
      <c r="G31" s="16" t="n">
        <v>4</v>
      </c>
      <c r="H31" s="17" t="n">
        <f aca="false">F31*G31</f>
        <v>120</v>
      </c>
    </row>
    <row r="32" customFormat="false" ht="15" hidden="false" customHeight="false" outlineLevel="0" collapsed="false">
      <c r="A32" s="14" t="s">
        <v>71</v>
      </c>
      <c r="B32" s="14" t="s">
        <v>67</v>
      </c>
      <c r="C32" s="14"/>
      <c r="D32" s="14" t="s">
        <v>72</v>
      </c>
      <c r="E32" s="14"/>
      <c r="F32" s="15" t="n">
        <v>30</v>
      </c>
      <c r="G32" s="16" t="n">
        <v>3</v>
      </c>
      <c r="H32" s="17" t="n">
        <f aca="false">F32*G32</f>
        <v>90</v>
      </c>
    </row>
    <row r="33" customFormat="false" ht="15" hidden="false" customHeight="false" outlineLevel="0" collapsed="false">
      <c r="A33" s="14" t="s">
        <v>73</v>
      </c>
      <c r="B33" s="14" t="s">
        <v>49</v>
      </c>
      <c r="C33" s="14"/>
      <c r="D33" s="14" t="s">
        <v>72</v>
      </c>
      <c r="E33" s="14"/>
      <c r="F33" s="15" t="n">
        <v>35</v>
      </c>
      <c r="G33" s="16" t="n">
        <v>4</v>
      </c>
      <c r="H33" s="17" t="n">
        <f aca="false">F33*G33</f>
        <v>140</v>
      </c>
    </row>
    <row r="34" customFormat="false" ht="15" hidden="false" customHeight="false" outlineLevel="0" collapsed="false">
      <c r="A34" s="14" t="s">
        <v>73</v>
      </c>
      <c r="B34" s="14" t="s">
        <v>50</v>
      </c>
      <c r="C34" s="14"/>
      <c r="D34" s="14" t="s">
        <v>72</v>
      </c>
      <c r="E34" s="14"/>
      <c r="F34" s="15" t="n">
        <v>35</v>
      </c>
      <c r="G34" s="16" t="n">
        <v>3</v>
      </c>
      <c r="H34" s="17" t="n">
        <f aca="false">F34*G34</f>
        <v>105</v>
      </c>
    </row>
    <row r="35" customFormat="false" ht="15" hidden="false" customHeight="false" outlineLevel="0" collapsed="false">
      <c r="A35" s="14" t="s">
        <v>73</v>
      </c>
      <c r="B35" s="14" t="s">
        <v>67</v>
      </c>
      <c r="C35" s="14"/>
      <c r="D35" s="14" t="s">
        <v>72</v>
      </c>
      <c r="E35" s="14"/>
      <c r="F35" s="15" t="n">
        <v>35</v>
      </c>
      <c r="G35" s="16" t="n">
        <v>2</v>
      </c>
      <c r="H35" s="17" t="n">
        <f aca="false">F35*G35</f>
        <v>70</v>
      </c>
    </row>
    <row r="36" customFormat="false" ht="15" hidden="false" customHeight="false" outlineLevel="0" collapsed="false">
      <c r="A36" s="14" t="s">
        <v>73</v>
      </c>
      <c r="B36" s="14" t="s">
        <v>45</v>
      </c>
      <c r="C36" s="14"/>
      <c r="D36" s="14" t="s">
        <v>72</v>
      </c>
      <c r="E36" s="14"/>
      <c r="F36" s="15" t="n">
        <v>35</v>
      </c>
      <c r="G36" s="16" t="n">
        <v>3</v>
      </c>
      <c r="H36" s="17" t="n">
        <f aca="false">F36*G36</f>
        <v>105</v>
      </c>
    </row>
    <row r="37" customFormat="false" ht="15" hidden="false" customHeight="false" outlineLevel="0" collapsed="false">
      <c r="A37" s="14" t="s">
        <v>73</v>
      </c>
      <c r="B37" s="14" t="s">
        <v>49</v>
      </c>
      <c r="C37" s="14"/>
      <c r="D37" s="14" t="s">
        <v>72</v>
      </c>
      <c r="E37" s="14"/>
      <c r="F37" s="15" t="n">
        <v>35</v>
      </c>
      <c r="G37" s="16" t="n">
        <v>5</v>
      </c>
      <c r="H37" s="17" t="n">
        <f aca="false">F37*G37</f>
        <v>175</v>
      </c>
    </row>
    <row r="38" customFormat="false" ht="15" hidden="false" customHeight="false" outlineLevel="0" collapsed="false">
      <c r="A38" s="14" t="s">
        <v>73</v>
      </c>
      <c r="B38" s="14" t="s">
        <v>50</v>
      </c>
      <c r="C38" s="14"/>
      <c r="D38" s="14" t="s">
        <v>72</v>
      </c>
      <c r="E38" s="14"/>
      <c r="F38" s="15" t="n">
        <v>35</v>
      </c>
      <c r="G38" s="16" t="n">
        <v>1</v>
      </c>
      <c r="H38" s="17" t="n">
        <f aca="false">F38*G38</f>
        <v>35</v>
      </c>
    </row>
    <row r="39" customFormat="false" ht="15" hidden="false" customHeight="false" outlineLevel="0" collapsed="false">
      <c r="A39" s="14" t="s">
        <v>73</v>
      </c>
      <c r="B39" s="14" t="s">
        <v>67</v>
      </c>
      <c r="C39" s="14"/>
      <c r="D39" s="14" t="s">
        <v>72</v>
      </c>
      <c r="E39" s="14"/>
      <c r="F39" s="15" t="n">
        <v>35</v>
      </c>
      <c r="G39" s="16" t="n">
        <v>2</v>
      </c>
      <c r="H39" s="17" t="n">
        <f aca="false">F39*G39</f>
        <v>70</v>
      </c>
    </row>
    <row r="40" customFormat="false" ht="15" hidden="false" customHeight="false" outlineLevel="0" collapsed="false">
      <c r="A40" s="14" t="s">
        <v>74</v>
      </c>
      <c r="B40" s="14" t="s">
        <v>75</v>
      </c>
      <c r="C40" s="14"/>
      <c r="D40" s="14" t="s">
        <v>72</v>
      </c>
      <c r="E40" s="14"/>
      <c r="F40" s="15" t="n">
        <v>30</v>
      </c>
      <c r="G40" s="16" t="n">
        <v>6</v>
      </c>
      <c r="H40" s="17" t="n">
        <f aca="false">F40*G40</f>
        <v>180</v>
      </c>
    </row>
    <row r="41" customFormat="false" ht="15" hidden="false" customHeight="false" outlineLevel="0" collapsed="false">
      <c r="A41" s="14" t="s">
        <v>76</v>
      </c>
      <c r="B41" s="14" t="s">
        <v>45</v>
      </c>
      <c r="C41" s="14"/>
      <c r="D41" s="14" t="s">
        <v>72</v>
      </c>
      <c r="E41" s="14"/>
      <c r="F41" s="15" t="n">
        <v>120</v>
      </c>
      <c r="G41" s="16" t="n">
        <v>1</v>
      </c>
      <c r="H41" s="17" t="n">
        <f aca="false">F41*G41</f>
        <v>120</v>
      </c>
    </row>
    <row r="42" customFormat="false" ht="15" hidden="false" customHeight="false" outlineLevel="0" collapsed="false">
      <c r="A42" s="14" t="s">
        <v>76</v>
      </c>
      <c r="B42" s="14" t="s">
        <v>49</v>
      </c>
      <c r="C42" s="14"/>
      <c r="D42" s="14" t="s">
        <v>72</v>
      </c>
      <c r="E42" s="14"/>
      <c r="F42" s="15" t="n">
        <v>120</v>
      </c>
      <c r="G42" s="16" t="n">
        <v>7</v>
      </c>
      <c r="H42" s="17" t="n">
        <f aca="false">F42*G42</f>
        <v>840</v>
      </c>
    </row>
    <row r="43" customFormat="false" ht="15" hidden="false" customHeight="false" outlineLevel="0" collapsed="false">
      <c r="A43" s="14" t="s">
        <v>76</v>
      </c>
      <c r="B43" s="14" t="s">
        <v>50</v>
      </c>
      <c r="C43" s="14"/>
      <c r="D43" s="14" t="s">
        <v>72</v>
      </c>
      <c r="E43" s="14"/>
      <c r="F43" s="15" t="n">
        <v>120</v>
      </c>
      <c r="G43" s="16" t="n">
        <v>6</v>
      </c>
      <c r="H43" s="17" t="n">
        <f aca="false">F43*G43</f>
        <v>720</v>
      </c>
    </row>
    <row r="44" customFormat="false" ht="15" hidden="false" customHeight="false" outlineLevel="0" collapsed="false">
      <c r="A44" s="14" t="s">
        <v>76</v>
      </c>
      <c r="B44" s="14" t="s">
        <v>67</v>
      </c>
      <c r="C44" s="14"/>
      <c r="D44" s="14" t="s">
        <v>72</v>
      </c>
      <c r="E44" s="14"/>
      <c r="F44" s="15" t="n">
        <v>120</v>
      </c>
      <c r="G44" s="16" t="n">
        <v>8</v>
      </c>
      <c r="H44" s="17" t="n">
        <f aca="false">F44*G44</f>
        <v>960</v>
      </c>
    </row>
    <row r="45" customFormat="false" ht="15" hidden="false" customHeight="false" outlineLevel="0" collapsed="false">
      <c r="A45" s="14" t="s">
        <v>77</v>
      </c>
      <c r="B45" s="14" t="s">
        <v>45</v>
      </c>
      <c r="C45" s="14"/>
      <c r="D45" s="14" t="s">
        <v>72</v>
      </c>
      <c r="E45" s="14"/>
      <c r="F45" s="15" t="n">
        <v>55</v>
      </c>
      <c r="G45" s="16" t="n">
        <v>2</v>
      </c>
      <c r="H45" s="17" t="n">
        <f aca="false">F45*G45</f>
        <v>110</v>
      </c>
    </row>
    <row r="46" customFormat="false" ht="15" hidden="false" customHeight="false" outlineLevel="0" collapsed="false">
      <c r="A46" s="14" t="s">
        <v>77</v>
      </c>
      <c r="B46" s="14" t="s">
        <v>48</v>
      </c>
      <c r="C46" s="14"/>
      <c r="D46" s="14" t="s">
        <v>72</v>
      </c>
      <c r="E46" s="14"/>
      <c r="F46" s="15" t="n">
        <v>55</v>
      </c>
      <c r="G46" s="16" t="n">
        <v>3</v>
      </c>
      <c r="H46" s="17" t="n">
        <f aca="false">F46*G46</f>
        <v>165</v>
      </c>
    </row>
    <row r="47" customFormat="false" ht="15" hidden="false" customHeight="false" outlineLevel="0" collapsed="false">
      <c r="A47" s="14" t="s">
        <v>78</v>
      </c>
      <c r="B47" s="14" t="s">
        <v>49</v>
      </c>
      <c r="C47" s="14"/>
      <c r="D47" s="14" t="s">
        <v>72</v>
      </c>
      <c r="E47" s="14"/>
      <c r="F47" s="15" t="n">
        <v>45</v>
      </c>
      <c r="G47" s="16" t="n">
        <v>2</v>
      </c>
      <c r="H47" s="17" t="n">
        <f aca="false">F47*G47</f>
        <v>90</v>
      </c>
    </row>
    <row r="48" customFormat="false" ht="15" hidden="false" customHeight="false" outlineLevel="0" collapsed="false">
      <c r="A48" s="14" t="s">
        <v>78</v>
      </c>
      <c r="B48" s="14" t="s">
        <v>50</v>
      </c>
      <c r="C48" s="14"/>
      <c r="D48" s="14" t="s">
        <v>72</v>
      </c>
      <c r="E48" s="14"/>
      <c r="F48" s="15" t="n">
        <v>45</v>
      </c>
      <c r="G48" s="16" t="n">
        <v>1</v>
      </c>
      <c r="H48" s="17" t="n">
        <f aca="false">F48*G48</f>
        <v>45</v>
      </c>
    </row>
    <row r="49" customFormat="false" ht="15" hidden="false" customHeight="false" outlineLevel="0" collapsed="false">
      <c r="A49" s="14" t="s">
        <v>79</v>
      </c>
      <c r="B49" s="14" t="s">
        <v>48</v>
      </c>
      <c r="C49" s="14"/>
      <c r="D49" s="14" t="s">
        <v>72</v>
      </c>
      <c r="E49" s="14"/>
      <c r="F49" s="15" t="n">
        <v>45</v>
      </c>
      <c r="G49" s="16" t="n">
        <v>2</v>
      </c>
      <c r="H49" s="17" t="n">
        <f aca="false">F49*G49</f>
        <v>90</v>
      </c>
    </row>
    <row r="50" customFormat="false" ht="15" hidden="false" customHeight="false" outlineLevel="0" collapsed="false">
      <c r="A50" s="14" t="s">
        <v>79</v>
      </c>
      <c r="B50" s="14" t="s">
        <v>49</v>
      </c>
      <c r="C50" s="14"/>
      <c r="D50" s="14" t="s">
        <v>72</v>
      </c>
      <c r="E50" s="14"/>
      <c r="F50" s="15" t="n">
        <v>45</v>
      </c>
      <c r="G50" s="16" t="n">
        <v>2</v>
      </c>
      <c r="H50" s="17" t="n">
        <f aca="false">F50*G50</f>
        <v>90</v>
      </c>
    </row>
    <row r="51" customFormat="false" ht="15" hidden="false" customHeight="false" outlineLevel="0" collapsed="false">
      <c r="A51" s="14" t="s">
        <v>79</v>
      </c>
      <c r="B51" s="14" t="s">
        <v>50</v>
      </c>
      <c r="C51" s="14"/>
      <c r="D51" s="14" t="s">
        <v>72</v>
      </c>
      <c r="E51" s="14"/>
      <c r="F51" s="15" t="n">
        <v>45</v>
      </c>
      <c r="G51" s="16" t="n">
        <v>1</v>
      </c>
      <c r="H51" s="17" t="n">
        <f aca="false">F51*G51</f>
        <v>45</v>
      </c>
    </row>
    <row r="52" customFormat="false" ht="15" hidden="false" customHeight="false" outlineLevel="0" collapsed="false">
      <c r="A52" s="14" t="s">
        <v>80</v>
      </c>
      <c r="B52" s="14" t="s">
        <v>45</v>
      </c>
      <c r="C52" s="14"/>
      <c r="D52" s="14" t="s">
        <v>72</v>
      </c>
      <c r="E52" s="14"/>
      <c r="F52" s="15" t="n">
        <v>80</v>
      </c>
      <c r="G52" s="16" t="n">
        <v>1</v>
      </c>
      <c r="H52" s="17" t="n">
        <f aca="false">F52*G52</f>
        <v>80</v>
      </c>
    </row>
    <row r="53" customFormat="false" ht="15" hidden="false" customHeight="false" outlineLevel="0" collapsed="false">
      <c r="A53" s="14" t="s">
        <v>80</v>
      </c>
      <c r="B53" s="14" t="s">
        <v>49</v>
      </c>
      <c r="C53" s="14"/>
      <c r="D53" s="14" t="s">
        <v>72</v>
      </c>
      <c r="E53" s="14"/>
      <c r="F53" s="15" t="n">
        <v>80</v>
      </c>
      <c r="G53" s="16" t="n">
        <v>1</v>
      </c>
      <c r="H53" s="17" t="n">
        <f aca="false">F53*G53</f>
        <v>80</v>
      </c>
    </row>
    <row r="54" customFormat="false" ht="15" hidden="false" customHeight="false" outlineLevel="0" collapsed="false">
      <c r="A54" s="14" t="s">
        <v>81</v>
      </c>
      <c r="B54" s="14" t="s">
        <v>82</v>
      </c>
      <c r="C54" s="14"/>
      <c r="D54" s="14" t="s">
        <v>72</v>
      </c>
      <c r="E54" s="14"/>
      <c r="F54" s="15" t="n">
        <v>45</v>
      </c>
      <c r="G54" s="16" t="n">
        <v>1</v>
      </c>
      <c r="H54" s="17" t="n">
        <f aca="false">F54*G54</f>
        <v>45</v>
      </c>
    </row>
    <row r="55" customFormat="false" ht="15" hidden="false" customHeight="false" outlineLevel="0" collapsed="false">
      <c r="A55" s="14" t="s">
        <v>81</v>
      </c>
      <c r="B55" s="14" t="s">
        <v>75</v>
      </c>
      <c r="C55" s="14"/>
      <c r="D55" s="14" t="s">
        <v>72</v>
      </c>
      <c r="E55" s="14"/>
      <c r="F55" s="15" t="n">
        <v>45</v>
      </c>
      <c r="G55" s="16" t="n">
        <v>1</v>
      </c>
      <c r="H55" s="17" t="n">
        <f aca="false">F55*G55</f>
        <v>45</v>
      </c>
    </row>
    <row r="56" customFormat="false" ht="15" hidden="false" customHeight="false" outlineLevel="0" collapsed="false">
      <c r="A56" s="14" t="s">
        <v>81</v>
      </c>
      <c r="B56" s="14" t="s">
        <v>83</v>
      </c>
      <c r="C56" s="14"/>
      <c r="D56" s="14" t="s">
        <v>72</v>
      </c>
      <c r="E56" s="14"/>
      <c r="F56" s="15" t="n">
        <v>45</v>
      </c>
      <c r="G56" s="16" t="n">
        <v>1</v>
      </c>
      <c r="H56" s="17" t="n">
        <f aca="false">F56*G56</f>
        <v>45</v>
      </c>
    </row>
    <row r="57" customFormat="false" ht="15" hidden="false" customHeight="false" outlineLevel="0" collapsed="false">
      <c r="A57" s="14" t="s">
        <v>81</v>
      </c>
      <c r="B57" s="14" t="s">
        <v>67</v>
      </c>
      <c r="C57" s="14"/>
      <c r="D57" s="14" t="s">
        <v>72</v>
      </c>
      <c r="E57" s="14"/>
      <c r="F57" s="15" t="n">
        <v>45</v>
      </c>
      <c r="G57" s="16" t="n">
        <v>1</v>
      </c>
      <c r="H57" s="17" t="n">
        <f aca="false">F57*G57</f>
        <v>45</v>
      </c>
    </row>
    <row r="58" customFormat="false" ht="15" hidden="false" customHeight="false" outlineLevel="0" collapsed="false">
      <c r="A58" s="14" t="s">
        <v>84</v>
      </c>
      <c r="B58" s="14" t="s">
        <v>82</v>
      </c>
      <c r="C58" s="14"/>
      <c r="D58" s="14" t="s">
        <v>72</v>
      </c>
      <c r="E58" s="14"/>
      <c r="F58" s="15" t="n">
        <v>45</v>
      </c>
      <c r="G58" s="16" t="n">
        <v>1</v>
      </c>
      <c r="H58" s="17" t="n">
        <f aca="false">F58*G58</f>
        <v>45</v>
      </c>
    </row>
    <row r="59" customFormat="false" ht="15" hidden="false" customHeight="false" outlineLevel="0" collapsed="false">
      <c r="A59" s="14" t="s">
        <v>84</v>
      </c>
      <c r="B59" s="14" t="s">
        <v>75</v>
      </c>
      <c r="C59" s="14"/>
      <c r="D59" s="14" t="s">
        <v>72</v>
      </c>
      <c r="E59" s="14"/>
      <c r="F59" s="15" t="n">
        <v>45</v>
      </c>
      <c r="G59" s="16" t="n">
        <v>1</v>
      </c>
      <c r="H59" s="17" t="n">
        <f aca="false">F59*G59</f>
        <v>45</v>
      </c>
    </row>
    <row r="60" customFormat="false" ht="15" hidden="false" customHeight="false" outlineLevel="0" collapsed="false">
      <c r="A60" s="14" t="s">
        <v>84</v>
      </c>
      <c r="B60" s="14" t="s">
        <v>83</v>
      </c>
      <c r="C60" s="14"/>
      <c r="D60" s="14" t="s">
        <v>72</v>
      </c>
      <c r="E60" s="14"/>
      <c r="F60" s="15" t="n">
        <v>45</v>
      </c>
      <c r="G60" s="16" t="n">
        <v>1</v>
      </c>
      <c r="H60" s="17" t="n">
        <f aca="false">F60*G60</f>
        <v>45</v>
      </c>
    </row>
    <row r="61" customFormat="false" ht="15" hidden="false" customHeight="false" outlineLevel="0" collapsed="false">
      <c r="A61" s="14" t="s">
        <v>84</v>
      </c>
      <c r="B61" s="14" t="s">
        <v>67</v>
      </c>
      <c r="C61" s="14"/>
      <c r="D61" s="14" t="s">
        <v>72</v>
      </c>
      <c r="E61" s="14"/>
      <c r="F61" s="15" t="n">
        <v>45</v>
      </c>
      <c r="G61" s="16" t="n">
        <v>1</v>
      </c>
      <c r="H61" s="17" t="n">
        <f aca="false">F61*G61</f>
        <v>45</v>
      </c>
    </row>
    <row r="62" customFormat="false" ht="15" hidden="false" customHeight="false" outlineLevel="0" collapsed="false">
      <c r="A62" s="14" t="s">
        <v>85</v>
      </c>
      <c r="B62" s="14" t="s">
        <v>75</v>
      </c>
      <c r="C62" s="14"/>
      <c r="D62" s="14" t="s">
        <v>72</v>
      </c>
      <c r="E62" s="14"/>
      <c r="F62" s="15" t="n">
        <v>45</v>
      </c>
      <c r="G62" s="16" t="n">
        <v>1</v>
      </c>
      <c r="H62" s="17" t="n">
        <f aca="false">F62*G62</f>
        <v>45</v>
      </c>
    </row>
    <row r="63" customFormat="false" ht="15" hidden="false" customHeight="false" outlineLevel="0" collapsed="false">
      <c r="A63" s="14" t="s">
        <v>85</v>
      </c>
      <c r="B63" s="14" t="s">
        <v>83</v>
      </c>
      <c r="C63" s="14"/>
      <c r="D63" s="14" t="s">
        <v>72</v>
      </c>
      <c r="E63" s="14"/>
      <c r="F63" s="15" t="n">
        <v>45</v>
      </c>
      <c r="G63" s="16" t="n">
        <v>1</v>
      </c>
      <c r="H63" s="17" t="n">
        <f aca="false">F63*G63</f>
        <v>45</v>
      </c>
    </row>
    <row r="64" customFormat="false" ht="15" hidden="false" customHeight="false" outlineLevel="0" collapsed="false">
      <c r="A64" s="14" t="s">
        <v>86</v>
      </c>
      <c r="B64" s="14" t="s">
        <v>45</v>
      </c>
      <c r="C64" s="14"/>
      <c r="D64" s="14" t="s">
        <v>72</v>
      </c>
      <c r="E64" s="14"/>
      <c r="F64" s="15" t="n">
        <v>50</v>
      </c>
      <c r="G64" s="16" t="n">
        <v>20</v>
      </c>
      <c r="H64" s="17" t="n">
        <f aca="false">F64*G64</f>
        <v>1000</v>
      </c>
    </row>
    <row r="65" customFormat="false" ht="15" hidden="false" customHeight="false" outlineLevel="0" collapsed="false">
      <c r="A65" s="14" t="s">
        <v>86</v>
      </c>
      <c r="B65" s="14" t="s">
        <v>48</v>
      </c>
      <c r="C65" s="14"/>
      <c r="D65" s="14" t="s">
        <v>72</v>
      </c>
      <c r="E65" s="14"/>
      <c r="F65" s="15" t="n">
        <v>50</v>
      </c>
      <c r="G65" s="16" t="n">
        <v>25</v>
      </c>
      <c r="H65" s="17" t="n">
        <f aca="false">F65*G65</f>
        <v>1250</v>
      </c>
    </row>
    <row r="66" customFormat="false" ht="15" hidden="false" customHeight="false" outlineLevel="0" collapsed="false">
      <c r="A66" s="14" t="s">
        <v>86</v>
      </c>
      <c r="B66" s="14" t="s">
        <v>49</v>
      </c>
      <c r="C66" s="14"/>
      <c r="D66" s="14" t="s">
        <v>72</v>
      </c>
      <c r="E66" s="14"/>
      <c r="F66" s="15" t="n">
        <v>50</v>
      </c>
      <c r="G66" s="16" t="n">
        <v>25</v>
      </c>
      <c r="H66" s="17" t="n">
        <f aca="false">F66*G66</f>
        <v>1250</v>
      </c>
    </row>
    <row r="67" customFormat="false" ht="15" hidden="false" customHeight="false" outlineLevel="0" collapsed="false">
      <c r="A67" s="14" t="s">
        <v>86</v>
      </c>
      <c r="B67" s="14" t="s">
        <v>50</v>
      </c>
      <c r="C67" s="14"/>
      <c r="D67" s="14" t="s">
        <v>72</v>
      </c>
      <c r="E67" s="14"/>
      <c r="F67" s="15" t="n">
        <v>50</v>
      </c>
      <c r="G67" s="16" t="n">
        <v>15</v>
      </c>
      <c r="H67" s="17" t="n">
        <f aca="false">F67*G67</f>
        <v>750</v>
      </c>
    </row>
    <row r="68" customFormat="false" ht="15" hidden="false" customHeight="false" outlineLevel="0" collapsed="false">
      <c r="A68" s="14" t="s">
        <v>86</v>
      </c>
      <c r="B68" s="14" t="s">
        <v>67</v>
      </c>
      <c r="C68" s="14"/>
      <c r="D68" s="14" t="s">
        <v>72</v>
      </c>
      <c r="E68" s="14"/>
      <c r="F68" s="15" t="n">
        <v>50</v>
      </c>
      <c r="G68" s="16" t="n">
        <v>15</v>
      </c>
      <c r="H68" s="17" t="n">
        <f aca="false">F68*G68</f>
        <v>750</v>
      </c>
    </row>
    <row r="69" customFormat="false" ht="15" hidden="false" customHeight="false" outlineLevel="0" collapsed="false">
      <c r="A69" s="14" t="s">
        <v>87</v>
      </c>
      <c r="B69" s="14" t="s">
        <v>48</v>
      </c>
      <c r="C69" s="14"/>
      <c r="D69" s="14" t="s">
        <v>72</v>
      </c>
      <c r="E69" s="14"/>
      <c r="F69" s="15" t="n">
        <v>40</v>
      </c>
      <c r="G69" s="16" t="n">
        <v>1</v>
      </c>
      <c r="H69" s="17" t="n">
        <f aca="false">F69*G69</f>
        <v>40</v>
      </c>
    </row>
    <row r="70" customFormat="false" ht="15" hidden="false" customHeight="false" outlineLevel="0" collapsed="false">
      <c r="A70" s="14" t="s">
        <v>87</v>
      </c>
      <c r="B70" s="14" t="s">
        <v>49</v>
      </c>
      <c r="C70" s="14"/>
      <c r="D70" s="14" t="s">
        <v>72</v>
      </c>
      <c r="E70" s="14"/>
      <c r="F70" s="15" t="n">
        <v>40</v>
      </c>
      <c r="G70" s="16" t="n">
        <v>2</v>
      </c>
      <c r="H70" s="17" t="n">
        <f aca="false">F70*G70</f>
        <v>80</v>
      </c>
    </row>
    <row r="71" customFormat="false" ht="15" hidden="false" customHeight="false" outlineLevel="0" collapsed="false">
      <c r="A71" s="14" t="s">
        <v>87</v>
      </c>
      <c r="B71" s="14" t="s">
        <v>50</v>
      </c>
      <c r="C71" s="14"/>
      <c r="D71" s="14" t="s">
        <v>72</v>
      </c>
      <c r="E71" s="14"/>
      <c r="F71" s="15" t="n">
        <v>40</v>
      </c>
      <c r="G71" s="16" t="n">
        <v>1</v>
      </c>
      <c r="H71" s="17" t="n">
        <f aca="false">F71*G71</f>
        <v>40</v>
      </c>
    </row>
    <row r="72" customFormat="false" ht="15" hidden="false" customHeight="false" outlineLevel="0" collapsed="false">
      <c r="A72" s="14" t="s">
        <v>88</v>
      </c>
      <c r="B72" s="14" t="s">
        <v>45</v>
      </c>
      <c r="C72" s="14"/>
      <c r="D72" s="14" t="s">
        <v>72</v>
      </c>
      <c r="E72" s="14"/>
      <c r="F72" s="15" t="n">
        <v>40</v>
      </c>
      <c r="G72" s="16" t="n">
        <v>1</v>
      </c>
      <c r="H72" s="17" t="n">
        <f aca="false">F72*G72</f>
        <v>40</v>
      </c>
    </row>
    <row r="73" customFormat="false" ht="15" hidden="false" customHeight="false" outlineLevel="0" collapsed="false">
      <c r="A73" s="14" t="s">
        <v>88</v>
      </c>
      <c r="B73" s="14" t="s">
        <v>49</v>
      </c>
      <c r="C73" s="14"/>
      <c r="D73" s="14" t="s">
        <v>72</v>
      </c>
      <c r="E73" s="14"/>
      <c r="F73" s="15" t="n">
        <v>40</v>
      </c>
      <c r="G73" s="16" t="n">
        <v>2</v>
      </c>
      <c r="H73" s="17" t="n">
        <f aca="false">F73*G73</f>
        <v>80</v>
      </c>
    </row>
    <row r="74" customFormat="false" ht="15" hidden="false" customHeight="false" outlineLevel="0" collapsed="false">
      <c r="A74" s="14" t="s">
        <v>88</v>
      </c>
      <c r="B74" s="14" t="s">
        <v>50</v>
      </c>
      <c r="C74" s="14"/>
      <c r="D74" s="14" t="s">
        <v>72</v>
      </c>
      <c r="E74" s="14"/>
      <c r="F74" s="15" t="n">
        <v>40</v>
      </c>
      <c r="G74" s="16" t="n">
        <v>1</v>
      </c>
      <c r="H74" s="17" t="n">
        <f aca="false">F74*G74</f>
        <v>40</v>
      </c>
    </row>
    <row r="75" customFormat="false" ht="15" hidden="false" customHeight="false" outlineLevel="0" collapsed="false">
      <c r="A75" s="14" t="s">
        <v>88</v>
      </c>
      <c r="B75" s="14" t="s">
        <v>67</v>
      </c>
      <c r="C75" s="14"/>
      <c r="D75" s="14" t="s">
        <v>72</v>
      </c>
      <c r="E75" s="14"/>
      <c r="F75" s="15" t="n">
        <v>40</v>
      </c>
      <c r="G75" s="16" t="n">
        <v>1</v>
      </c>
      <c r="H75" s="17" t="n">
        <f aca="false">F75*G75</f>
        <v>40</v>
      </c>
    </row>
    <row r="76" customFormat="false" ht="15" hidden="false" customHeight="false" outlineLevel="0" collapsed="false">
      <c r="A76" s="14" t="s">
        <v>89</v>
      </c>
      <c r="B76" s="14" t="s">
        <v>45</v>
      </c>
      <c r="C76" s="14"/>
      <c r="D76" s="14" t="s">
        <v>72</v>
      </c>
      <c r="E76" s="14"/>
      <c r="F76" s="15" t="n">
        <v>40</v>
      </c>
      <c r="G76" s="16" t="n">
        <v>1</v>
      </c>
      <c r="H76" s="17" t="n">
        <f aca="false">F76*G76</f>
        <v>40</v>
      </c>
    </row>
    <row r="77" customFormat="false" ht="15" hidden="false" customHeight="false" outlineLevel="0" collapsed="false">
      <c r="A77" s="14" t="s">
        <v>90</v>
      </c>
      <c r="B77" s="14" t="s">
        <v>45</v>
      </c>
      <c r="C77" s="14"/>
      <c r="D77" s="14" t="s">
        <v>72</v>
      </c>
      <c r="E77" s="14"/>
      <c r="F77" s="15" t="n">
        <v>40</v>
      </c>
      <c r="G77" s="16" t="n">
        <v>1</v>
      </c>
      <c r="H77" s="17" t="n">
        <f aca="false">F77*G77</f>
        <v>40</v>
      </c>
    </row>
    <row r="78" customFormat="false" ht="15" hidden="false" customHeight="false" outlineLevel="0" collapsed="false">
      <c r="A78" s="14" t="s">
        <v>90</v>
      </c>
      <c r="B78" s="14" t="s">
        <v>49</v>
      </c>
      <c r="C78" s="14"/>
      <c r="D78" s="14" t="s">
        <v>72</v>
      </c>
      <c r="E78" s="14"/>
      <c r="F78" s="15" t="n">
        <v>40</v>
      </c>
      <c r="G78" s="16" t="n">
        <v>2</v>
      </c>
      <c r="H78" s="17" t="n">
        <f aca="false">F78*G78</f>
        <v>80</v>
      </c>
    </row>
    <row r="79" customFormat="false" ht="15" hidden="false" customHeight="false" outlineLevel="0" collapsed="false">
      <c r="A79" s="14" t="s">
        <v>90</v>
      </c>
      <c r="B79" s="14" t="s">
        <v>50</v>
      </c>
      <c r="C79" s="14"/>
      <c r="D79" s="14" t="s">
        <v>72</v>
      </c>
      <c r="E79" s="14"/>
      <c r="F79" s="15" t="n">
        <v>40</v>
      </c>
      <c r="G79" s="16" t="n">
        <v>1</v>
      </c>
      <c r="H79" s="17" t="n">
        <f aca="false">F79*G79</f>
        <v>40</v>
      </c>
    </row>
    <row r="80" customFormat="false" ht="15" hidden="false" customHeight="false" outlineLevel="0" collapsed="false">
      <c r="A80" s="14" t="s">
        <v>90</v>
      </c>
      <c r="B80" s="14" t="s">
        <v>67</v>
      </c>
      <c r="C80" s="14"/>
      <c r="D80" s="14" t="s">
        <v>72</v>
      </c>
      <c r="E80" s="14"/>
      <c r="F80" s="15" t="n">
        <v>40</v>
      </c>
      <c r="G80" s="16" t="n">
        <v>1</v>
      </c>
      <c r="H80" s="17" t="n">
        <f aca="false">F80*G80</f>
        <v>40</v>
      </c>
    </row>
    <row r="81" customFormat="false" ht="15" hidden="false" customHeight="false" outlineLevel="0" collapsed="false">
      <c r="A81" s="14" t="s">
        <v>91</v>
      </c>
      <c r="B81" s="14" t="s">
        <v>45</v>
      </c>
      <c r="C81" s="14"/>
      <c r="D81" s="14" t="s">
        <v>72</v>
      </c>
      <c r="E81" s="14"/>
      <c r="F81" s="15" t="n">
        <v>40</v>
      </c>
      <c r="G81" s="16" t="n">
        <v>1</v>
      </c>
      <c r="H81" s="17" t="n">
        <f aca="false">F81*G81</f>
        <v>40</v>
      </c>
    </row>
    <row r="82" customFormat="false" ht="15" hidden="false" customHeight="false" outlineLevel="0" collapsed="false">
      <c r="A82" s="14" t="s">
        <v>92</v>
      </c>
      <c r="B82" s="14" t="s">
        <v>45</v>
      </c>
      <c r="C82" s="14"/>
      <c r="D82" s="14" t="s">
        <v>72</v>
      </c>
      <c r="E82" s="14"/>
      <c r="F82" s="15" t="n">
        <v>59.99</v>
      </c>
      <c r="G82" s="16" t="n">
        <v>1</v>
      </c>
      <c r="H82" s="17" t="n">
        <f aca="false">F82*G82</f>
        <v>59.99</v>
      </c>
    </row>
    <row r="83" customFormat="false" ht="15" hidden="false" customHeight="false" outlineLevel="0" collapsed="false">
      <c r="A83" s="14" t="s">
        <v>93</v>
      </c>
      <c r="B83" s="14" t="s">
        <v>48</v>
      </c>
      <c r="C83" s="14"/>
      <c r="D83" s="14" t="s">
        <v>72</v>
      </c>
      <c r="E83" s="14"/>
      <c r="F83" s="15" t="n">
        <v>40</v>
      </c>
      <c r="G83" s="16" t="n">
        <v>1</v>
      </c>
      <c r="H83" s="17" t="n">
        <f aca="false">F83*G83</f>
        <v>40</v>
      </c>
    </row>
    <row r="84" customFormat="false" ht="15" hidden="false" customHeight="false" outlineLevel="0" collapsed="false">
      <c r="A84" s="14" t="s">
        <v>93</v>
      </c>
      <c r="B84" s="14" t="s">
        <v>49</v>
      </c>
      <c r="C84" s="14"/>
      <c r="D84" s="14" t="s">
        <v>72</v>
      </c>
      <c r="E84" s="14"/>
      <c r="F84" s="15" t="n">
        <v>40</v>
      </c>
      <c r="G84" s="16" t="n">
        <v>2</v>
      </c>
      <c r="H84" s="17" t="n">
        <f aca="false">F84*G84</f>
        <v>80</v>
      </c>
    </row>
    <row r="85" customFormat="false" ht="15" hidden="false" customHeight="false" outlineLevel="0" collapsed="false">
      <c r="A85" s="14" t="s">
        <v>93</v>
      </c>
      <c r="B85" s="14" t="s">
        <v>50</v>
      </c>
      <c r="C85" s="14"/>
      <c r="D85" s="14" t="s">
        <v>72</v>
      </c>
      <c r="E85" s="14"/>
      <c r="F85" s="15" t="n">
        <v>40</v>
      </c>
      <c r="G85" s="16" t="n">
        <v>1</v>
      </c>
      <c r="H85" s="17" t="n">
        <f aca="false">F85*G85</f>
        <v>40</v>
      </c>
    </row>
    <row r="86" customFormat="false" ht="15" hidden="false" customHeight="false" outlineLevel="0" collapsed="false">
      <c r="A86" s="14" t="s">
        <v>93</v>
      </c>
      <c r="B86" s="14" t="s">
        <v>67</v>
      </c>
      <c r="C86" s="14"/>
      <c r="D86" s="14" t="s">
        <v>72</v>
      </c>
      <c r="E86" s="14"/>
      <c r="F86" s="15" t="n">
        <v>40</v>
      </c>
      <c r="G86" s="16" t="n">
        <v>2</v>
      </c>
      <c r="H86" s="17" t="n">
        <f aca="false">F86*G86</f>
        <v>80</v>
      </c>
    </row>
    <row r="87" customFormat="false" ht="15" hidden="false" customHeight="false" outlineLevel="0" collapsed="false">
      <c r="A87" s="14" t="s">
        <v>94</v>
      </c>
      <c r="B87" s="14" t="s">
        <v>49</v>
      </c>
      <c r="C87" s="14"/>
      <c r="D87" s="14" t="s">
        <v>72</v>
      </c>
      <c r="E87" s="14"/>
      <c r="F87" s="15" t="n">
        <v>40</v>
      </c>
      <c r="G87" s="16" t="n">
        <v>1</v>
      </c>
      <c r="H87" s="17" t="n">
        <f aca="false">F87*G87</f>
        <v>40</v>
      </c>
    </row>
    <row r="88" customFormat="false" ht="15" hidden="false" customHeight="false" outlineLevel="0" collapsed="false">
      <c r="A88" s="14" t="s">
        <v>95</v>
      </c>
      <c r="B88" s="14" t="s">
        <v>45</v>
      </c>
      <c r="C88" s="14"/>
      <c r="D88" s="14" t="s">
        <v>72</v>
      </c>
      <c r="E88" s="14"/>
      <c r="F88" s="15" t="n">
        <v>40</v>
      </c>
      <c r="G88" s="16" t="n">
        <v>1</v>
      </c>
      <c r="H88" s="17" t="n">
        <f aca="false">F88*G88</f>
        <v>40</v>
      </c>
    </row>
    <row r="89" customFormat="false" ht="15" hidden="false" customHeight="false" outlineLevel="0" collapsed="false">
      <c r="A89" s="14" t="s">
        <v>95</v>
      </c>
      <c r="B89" s="14" t="s">
        <v>49</v>
      </c>
      <c r="C89" s="14"/>
      <c r="D89" s="14" t="s">
        <v>72</v>
      </c>
      <c r="E89" s="14"/>
      <c r="F89" s="15" t="n">
        <v>40</v>
      </c>
      <c r="G89" s="16" t="n">
        <v>1</v>
      </c>
      <c r="H89" s="17" t="n">
        <f aca="false">F89*G89</f>
        <v>40</v>
      </c>
    </row>
    <row r="90" customFormat="false" ht="15" hidden="false" customHeight="false" outlineLevel="0" collapsed="false">
      <c r="A90" s="14" t="s">
        <v>95</v>
      </c>
      <c r="B90" s="14" t="s">
        <v>50</v>
      </c>
      <c r="C90" s="14"/>
      <c r="D90" s="14" t="s">
        <v>72</v>
      </c>
      <c r="E90" s="14"/>
      <c r="F90" s="15" t="n">
        <v>40</v>
      </c>
      <c r="G90" s="16" t="n">
        <v>2</v>
      </c>
      <c r="H90" s="17" t="n">
        <f aca="false">F90*G90</f>
        <v>80</v>
      </c>
    </row>
    <row r="91" customFormat="false" ht="15" hidden="false" customHeight="false" outlineLevel="0" collapsed="false">
      <c r="A91" s="14" t="s">
        <v>96</v>
      </c>
      <c r="B91" s="14" t="s">
        <v>48</v>
      </c>
      <c r="C91" s="14"/>
      <c r="D91" s="14" t="s">
        <v>72</v>
      </c>
      <c r="E91" s="14"/>
      <c r="F91" s="15" t="n">
        <v>40</v>
      </c>
      <c r="G91" s="16" t="n">
        <v>1</v>
      </c>
      <c r="H91" s="17" t="n">
        <f aca="false">F91*G91</f>
        <v>40</v>
      </c>
    </row>
    <row r="92" customFormat="false" ht="15" hidden="false" customHeight="false" outlineLevel="0" collapsed="false">
      <c r="A92" s="14" t="s">
        <v>96</v>
      </c>
      <c r="B92" s="14" t="s">
        <v>49</v>
      </c>
      <c r="C92" s="14"/>
      <c r="D92" s="14" t="s">
        <v>72</v>
      </c>
      <c r="E92" s="14"/>
      <c r="F92" s="15" t="n">
        <v>40</v>
      </c>
      <c r="G92" s="16" t="n">
        <v>1</v>
      </c>
      <c r="H92" s="17" t="n">
        <f aca="false">F92*G92</f>
        <v>40</v>
      </c>
    </row>
    <row r="93" customFormat="false" ht="15" hidden="false" customHeight="false" outlineLevel="0" collapsed="false">
      <c r="A93" s="14" t="s">
        <v>96</v>
      </c>
      <c r="B93" s="14" t="s">
        <v>50</v>
      </c>
      <c r="C93" s="14"/>
      <c r="D93" s="14" t="s">
        <v>72</v>
      </c>
      <c r="E93" s="14"/>
      <c r="F93" s="15" t="n">
        <v>40</v>
      </c>
      <c r="G93" s="16" t="n">
        <v>1</v>
      </c>
      <c r="H93" s="17" t="n">
        <f aca="false">F93*G93</f>
        <v>40</v>
      </c>
    </row>
    <row r="94" customFormat="false" ht="15" hidden="false" customHeight="false" outlineLevel="0" collapsed="false">
      <c r="A94" s="14" t="s">
        <v>97</v>
      </c>
      <c r="B94" s="14" t="s">
        <v>98</v>
      </c>
      <c r="C94" s="14"/>
      <c r="D94" s="14" t="s">
        <v>72</v>
      </c>
      <c r="E94" s="14"/>
      <c r="F94" s="15" t="n">
        <v>28</v>
      </c>
      <c r="G94" s="16" t="n">
        <v>2</v>
      </c>
      <c r="H94" s="17" t="n">
        <f aca="false">F94*G94</f>
        <v>56</v>
      </c>
    </row>
    <row r="95" customFormat="false" ht="15" hidden="false" customHeight="false" outlineLevel="0" collapsed="false">
      <c r="A95" s="14" t="s">
        <v>99</v>
      </c>
      <c r="B95" s="14" t="s">
        <v>50</v>
      </c>
      <c r="C95" s="14"/>
      <c r="D95" s="14" t="s">
        <v>72</v>
      </c>
      <c r="E95" s="14"/>
      <c r="F95" s="15" t="n">
        <v>60</v>
      </c>
      <c r="G95" s="16" t="n">
        <v>1</v>
      </c>
      <c r="H95" s="17" t="n">
        <f aca="false">F95*G95</f>
        <v>60</v>
      </c>
    </row>
    <row r="96" customFormat="false" ht="15" hidden="false" customHeight="false" outlineLevel="0" collapsed="false">
      <c r="A96" s="14" t="s">
        <v>100</v>
      </c>
      <c r="B96" s="14" t="s">
        <v>48</v>
      </c>
      <c r="C96" s="14"/>
      <c r="D96" s="14" t="s">
        <v>72</v>
      </c>
      <c r="E96" s="14"/>
      <c r="F96" s="15" t="n">
        <v>45</v>
      </c>
      <c r="G96" s="16" t="n">
        <v>1</v>
      </c>
      <c r="H96" s="17" t="n">
        <f aca="false">F96*G96</f>
        <v>45</v>
      </c>
    </row>
    <row r="97" customFormat="false" ht="15" hidden="false" customHeight="false" outlineLevel="0" collapsed="false">
      <c r="A97" s="14" t="s">
        <v>100</v>
      </c>
      <c r="B97" s="14" t="s">
        <v>49</v>
      </c>
      <c r="C97" s="14"/>
      <c r="D97" s="14" t="s">
        <v>72</v>
      </c>
      <c r="E97" s="14"/>
      <c r="F97" s="15" t="n">
        <v>45</v>
      </c>
      <c r="G97" s="16" t="n">
        <v>2</v>
      </c>
      <c r="H97" s="17" t="n">
        <f aca="false">F97*G97</f>
        <v>90</v>
      </c>
    </row>
    <row r="98" customFormat="false" ht="15" hidden="false" customHeight="false" outlineLevel="0" collapsed="false">
      <c r="A98" s="14" t="s">
        <v>100</v>
      </c>
      <c r="B98" s="14" t="s">
        <v>50</v>
      </c>
      <c r="C98" s="14"/>
      <c r="D98" s="14" t="s">
        <v>72</v>
      </c>
      <c r="E98" s="14"/>
      <c r="F98" s="15" t="n">
        <v>45</v>
      </c>
      <c r="G98" s="16" t="n">
        <v>1</v>
      </c>
      <c r="H98" s="17" t="n">
        <f aca="false">F98*G98</f>
        <v>45</v>
      </c>
    </row>
    <row r="99" customFormat="false" ht="15" hidden="false" customHeight="false" outlineLevel="0" collapsed="false">
      <c r="A99" s="13" t="s">
        <v>101</v>
      </c>
      <c r="B99" s="2"/>
      <c r="C99" s="2"/>
      <c r="D99" s="2"/>
      <c r="E99" s="2"/>
      <c r="F99" s="2"/>
      <c r="G99" s="18" t="n">
        <f aca="false">SUM(G4:G98)</f>
        <v>686</v>
      </c>
      <c r="H99" s="19" t="n">
        <f aca="false">SUM(H4:H98)</f>
        <v>20275.99</v>
      </c>
    </row>
    <row r="100" customFormat="false" ht="15" hidden="false" customHeight="false" outlineLevel="0" collapsed="false">
      <c r="A100" s="5" t="s">
        <v>102</v>
      </c>
      <c r="B100" s="2"/>
      <c r="C100" s="2"/>
      <c r="D100" s="2"/>
      <c r="E100" s="2"/>
      <c r="F100" s="2"/>
      <c r="G100" s="20" t="n">
        <f aca="false">SUMIFS(G4:G98,D4:D98,"Active")</f>
        <v>450</v>
      </c>
      <c r="H100" s="21" t="n">
        <f aca="false">SUMIFS(H4:H98,D4:D98,"Active")</f>
        <v>8175</v>
      </c>
    </row>
    <row r="101" customFormat="false" ht="15" hidden="false" customHeight="false" outlineLevel="0" collapsed="false">
      <c r="A101" s="5" t="s">
        <v>103</v>
      </c>
      <c r="B101" s="2"/>
      <c r="C101" s="2"/>
      <c r="D101" s="2"/>
      <c r="E101" s="2"/>
      <c r="F101" s="2"/>
      <c r="G101" s="20" t="n">
        <f aca="false">G99-G100</f>
        <v>236</v>
      </c>
      <c r="H101" s="21" t="n">
        <f aca="false">H99-H100</f>
        <v>12100.99</v>
      </c>
    </row>
  </sheetData>
  <autoFilter ref="A3:H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30" hidden="false" customHeight="true" outlineLevel="0" collapsed="false">
      <c r="A4" s="4" t="s">
        <v>36</v>
      </c>
      <c r="B4" s="4" t="s">
        <v>37</v>
      </c>
      <c r="C4" s="4" t="s">
        <v>41</v>
      </c>
      <c r="D4" s="4" t="s">
        <v>42</v>
      </c>
      <c r="E4" s="4" t="s">
        <v>106</v>
      </c>
      <c r="F4" s="4" t="s">
        <v>107</v>
      </c>
      <c r="G4" s="4" t="s">
        <v>108</v>
      </c>
      <c r="H4" s="4" t="s">
        <v>109</v>
      </c>
      <c r="I4" s="4" t="s">
        <v>110</v>
      </c>
      <c r="J4" s="4" t="s">
        <v>111</v>
      </c>
      <c r="K4" s="4" t="s">
        <v>112</v>
      </c>
      <c r="L4" s="4" t="s">
        <v>113</v>
      </c>
      <c r="M4" s="4" t="s">
        <v>114</v>
      </c>
      <c r="N4" s="4" t="s">
        <v>39</v>
      </c>
    </row>
    <row r="5" customFormat="false" ht="15" hidden="false" customHeight="false" outlineLevel="0" collapsed="false">
      <c r="A5" s="22" t="s">
        <v>44</v>
      </c>
      <c r="B5" s="22" t="s">
        <v>45</v>
      </c>
      <c r="C5" s="23" t="n">
        <f aca="false">'Current Stock'!F4</f>
        <v>80</v>
      </c>
      <c r="D5" s="6" t="n">
        <f aca="false">'Current Stock'!G4</f>
        <v>3</v>
      </c>
      <c r="E5" s="24" t="n">
        <v>46107</v>
      </c>
      <c r="F5" s="25" t="n">
        <f aca="false">MIN(Assumptions!$B$8,MAX(1,ROUND((Assumptions!$B$9-E5)/30.4,1)))</f>
        <v>6.5</v>
      </c>
      <c r="G5" s="16" t="n">
        <v>0</v>
      </c>
      <c r="H5" s="26" t="n">
        <f aca="false">G5/F5</f>
        <v>0</v>
      </c>
      <c r="I5" s="27" t="n">
        <f aca="false">ROUNDUP(H5*12*(1+Assumptions!$B$5),0)</f>
        <v>0</v>
      </c>
      <c r="J5" s="27" t="n">
        <f aca="false">ROUNDUP(H5*Assumptions!$B$6,0)</f>
        <v>0</v>
      </c>
      <c r="K5" s="27" t="n">
        <f aca="false">MAX(0,I5+J5-D5)</f>
        <v>0</v>
      </c>
      <c r="L5" s="28" t="n">
        <f aca="false">K5*C5</f>
        <v>0</v>
      </c>
      <c r="M5" s="25" t="str">
        <f aca="false">IF(H5=0,"No sales",D5/(H5*(1+Assumptions!$B$5)))</f>
        <v>No sales</v>
      </c>
      <c r="N5" s="22" t="str">
        <f aca="false">IF(AND(D5=0,H5&gt;0),"OUT OF STOCK — reorder now",IF(H5=0,"No sales yet — hold",IF(D5&lt;H5*(1+Assumptions!$B$5)*(Assumptions!$B$7+Assumptions!$B$6),"Reorder soon",IF(K5=0,"Covered for 2027","Reorder in 2027"))))</f>
        <v>No sales yet — hold</v>
      </c>
    </row>
    <row r="6" customFormat="false" ht="15" hidden="false" customHeight="false" outlineLevel="0" collapsed="false">
      <c r="A6" s="22" t="s">
        <v>44</v>
      </c>
      <c r="B6" s="22" t="s">
        <v>48</v>
      </c>
      <c r="C6" s="23" t="n">
        <f aca="false">'Current Stock'!F5</f>
        <v>80</v>
      </c>
      <c r="D6" s="6" t="n">
        <f aca="false">'Current Stock'!G5</f>
        <v>4</v>
      </c>
      <c r="E6" s="24" t="n">
        <v>46107</v>
      </c>
      <c r="F6" s="25" t="n">
        <f aca="false">MIN(Assumptions!$B$8,MAX(1,ROUND((Assumptions!$B$9-E6)/30.4,1)))</f>
        <v>6.5</v>
      </c>
      <c r="G6" s="16" t="n">
        <v>0</v>
      </c>
      <c r="H6" s="26" t="n">
        <f aca="false">G6/F6</f>
        <v>0</v>
      </c>
      <c r="I6" s="27" t="n">
        <f aca="false">ROUNDUP(H6*12*(1+Assumptions!$B$5),0)</f>
        <v>0</v>
      </c>
      <c r="J6" s="27" t="n">
        <f aca="false">ROUNDUP(H6*Assumptions!$B$6,0)</f>
        <v>0</v>
      </c>
      <c r="K6" s="27" t="n">
        <f aca="false">MAX(0,I6+J6-D6)</f>
        <v>0</v>
      </c>
      <c r="L6" s="28" t="n">
        <f aca="false">K6*C6</f>
        <v>0</v>
      </c>
      <c r="M6" s="25" t="str">
        <f aca="false">IF(H6=0,"No sales",D6/(H6*(1+Assumptions!$B$5)))</f>
        <v>No sales</v>
      </c>
      <c r="N6" s="22" t="str">
        <f aca="false">IF(AND(D6=0,H6&gt;0),"OUT OF STOCK — reorder now",IF(H6=0,"No sales yet — hold",IF(D6&lt;H6*(1+Assumptions!$B$5)*(Assumptions!$B$7+Assumptions!$B$6),"Reorder soon",IF(K6=0,"Covered for 2027","Reorder in 2027"))))</f>
        <v>No sales yet — hold</v>
      </c>
    </row>
    <row r="7" customFormat="false" ht="15" hidden="false" customHeight="false" outlineLevel="0" collapsed="false">
      <c r="A7" s="22" t="s">
        <v>44</v>
      </c>
      <c r="B7" s="22" t="s">
        <v>49</v>
      </c>
      <c r="C7" s="23" t="n">
        <f aca="false">'Current Stock'!F6</f>
        <v>80</v>
      </c>
      <c r="D7" s="6" t="n">
        <f aca="false">'Current Stock'!G6</f>
        <v>3</v>
      </c>
      <c r="E7" s="24" t="n">
        <v>46107</v>
      </c>
      <c r="F7" s="25" t="n">
        <f aca="false">MIN(Assumptions!$B$8,MAX(1,ROUND((Assumptions!$B$9-E7)/30.4,1)))</f>
        <v>6.5</v>
      </c>
      <c r="G7" s="16" t="n">
        <v>0</v>
      </c>
      <c r="H7" s="26" t="n">
        <f aca="false">G7/F7</f>
        <v>0</v>
      </c>
      <c r="I7" s="27" t="n">
        <f aca="false">ROUNDUP(H7*12*(1+Assumptions!$B$5),0)</f>
        <v>0</v>
      </c>
      <c r="J7" s="27" t="n">
        <f aca="false">ROUNDUP(H7*Assumptions!$B$6,0)</f>
        <v>0</v>
      </c>
      <c r="K7" s="27" t="n">
        <f aca="false">MAX(0,I7+J7-D7)</f>
        <v>0</v>
      </c>
      <c r="L7" s="28" t="n">
        <f aca="false">K7*C7</f>
        <v>0</v>
      </c>
      <c r="M7" s="25" t="str">
        <f aca="false">IF(H7=0,"No sales",D7/(H7*(1+Assumptions!$B$5)))</f>
        <v>No sales</v>
      </c>
      <c r="N7" s="22" t="str">
        <f aca="false">IF(AND(D7=0,H7&gt;0),"OUT OF STOCK — reorder now",IF(H7=0,"No sales yet — hold",IF(D7&lt;H7*(1+Assumptions!$B$5)*(Assumptions!$B$7+Assumptions!$B$6),"Reorder soon",IF(K7=0,"Covered for 2027","Reorder in 2027"))))</f>
        <v>No sales yet — hold</v>
      </c>
    </row>
    <row r="8" customFormat="false" ht="15" hidden="false" customHeight="false" outlineLevel="0" collapsed="false">
      <c r="A8" s="22" t="s">
        <v>44</v>
      </c>
      <c r="B8" s="22" t="s">
        <v>50</v>
      </c>
      <c r="C8" s="23" t="n">
        <f aca="false">'Current Stock'!F7</f>
        <v>80</v>
      </c>
      <c r="D8" s="6" t="n">
        <f aca="false">'Current Stock'!G7</f>
        <v>2</v>
      </c>
      <c r="E8" s="24" t="n">
        <v>46107</v>
      </c>
      <c r="F8" s="25" t="n">
        <f aca="false">MIN(Assumptions!$B$8,MAX(1,ROUND((Assumptions!$B$9-E8)/30.4,1)))</f>
        <v>6.5</v>
      </c>
      <c r="G8" s="16" t="n">
        <v>1</v>
      </c>
      <c r="H8" s="26" t="n">
        <f aca="false">G8/F8</f>
        <v>0.153846153846154</v>
      </c>
      <c r="I8" s="27" t="n">
        <f aca="false">ROUNDUP(H8*12*(1+Assumptions!$B$5),0)</f>
        <v>3</v>
      </c>
      <c r="J8" s="27" t="n">
        <f aca="false">ROUNDUP(H8*Assumptions!$B$6,0)</f>
        <v>1</v>
      </c>
      <c r="K8" s="27" t="n">
        <f aca="false">MAX(0,I8+J8-D8)</f>
        <v>2</v>
      </c>
      <c r="L8" s="28" t="n">
        <f aca="false">K8*C8</f>
        <v>160</v>
      </c>
      <c r="M8" s="25" t="n">
        <f aca="false">IF(H8=0,"No sales",D8/(H8*(1+Assumptions!$B$5)))</f>
        <v>10.8333333333333</v>
      </c>
      <c r="N8" s="22" t="str">
        <f aca="false">IF(AND(D8=0,H8&gt;0),"OUT OF STOCK — reorder now",IF(H8=0,"No sales yet — hold",IF(D8&lt;H8*(1+Assumptions!$B$5)*(Assumptions!$B$7+Assumptions!$B$6),"Reorder soon",IF(K8=0,"Covered for 2027","Reorder in 2027"))))</f>
        <v>Reorder in 2027</v>
      </c>
    </row>
    <row r="9" customFormat="false" ht="15" hidden="false" customHeight="false" outlineLevel="0" collapsed="false">
      <c r="A9" s="22" t="s">
        <v>51</v>
      </c>
      <c r="B9" s="22" t="s">
        <v>45</v>
      </c>
      <c r="C9" s="23" t="n">
        <f aca="false">'Current Stock'!F8</f>
        <v>80</v>
      </c>
      <c r="D9" s="6" t="n">
        <f aca="false">'Current Stock'!G8</f>
        <v>2</v>
      </c>
      <c r="E9" s="24" t="n">
        <v>46272</v>
      </c>
      <c r="F9" s="25" t="n">
        <f aca="false">MIN(Assumptions!$B$8,MAX(1,ROUND((Assumptions!$B$9-E9)/30.4,1)))</f>
        <v>1.1</v>
      </c>
      <c r="G9" s="16" t="n">
        <v>0</v>
      </c>
      <c r="H9" s="26" t="n">
        <f aca="false">G9/F9</f>
        <v>0</v>
      </c>
      <c r="I9" s="27" t="n">
        <f aca="false">ROUNDUP(H9*12*(1+Assumptions!$B$5),0)</f>
        <v>0</v>
      </c>
      <c r="J9" s="27" t="n">
        <f aca="false">ROUNDUP(H9*Assumptions!$B$6,0)</f>
        <v>0</v>
      </c>
      <c r="K9" s="27" t="n">
        <f aca="false">MAX(0,I9+J9-D9)</f>
        <v>0</v>
      </c>
      <c r="L9" s="28" t="n">
        <f aca="false">K9*C9</f>
        <v>0</v>
      </c>
      <c r="M9" s="25" t="str">
        <f aca="false">IF(H9=0,"No sales",D9/(H9*(1+Assumptions!$B$5)))</f>
        <v>No sales</v>
      </c>
      <c r="N9" s="22" t="str">
        <f aca="false">IF(AND(D9=0,H9&gt;0),"OUT OF STOCK — reorder now",IF(H9=0,"No sales yet — hold",IF(D9&lt;H9*(1+Assumptions!$B$5)*(Assumptions!$B$7+Assumptions!$B$6),"Reorder soon",IF(K9=0,"Covered for 2027","Reorder in 2027"))))</f>
        <v>No sales yet — hold</v>
      </c>
    </row>
    <row r="10" customFormat="false" ht="15" hidden="false" customHeight="false" outlineLevel="0" collapsed="false">
      <c r="A10" s="22" t="s">
        <v>51</v>
      </c>
      <c r="B10" s="22" t="s">
        <v>48</v>
      </c>
      <c r="C10" s="23" t="n">
        <f aca="false">'Current Stock'!F9</f>
        <v>80</v>
      </c>
      <c r="D10" s="6" t="n">
        <f aca="false">'Current Stock'!G9</f>
        <v>2</v>
      </c>
      <c r="E10" s="24" t="n">
        <v>46272</v>
      </c>
      <c r="F10" s="25" t="n">
        <f aca="false">MIN(Assumptions!$B$8,MAX(1,ROUND((Assumptions!$B$9-E10)/30.4,1)))</f>
        <v>1.1</v>
      </c>
      <c r="G10" s="16" t="n">
        <v>0</v>
      </c>
      <c r="H10" s="26" t="n">
        <f aca="false">G10/F10</f>
        <v>0</v>
      </c>
      <c r="I10" s="27" t="n">
        <f aca="false">ROUNDUP(H10*12*(1+Assumptions!$B$5),0)</f>
        <v>0</v>
      </c>
      <c r="J10" s="27" t="n">
        <f aca="false">ROUNDUP(H10*Assumptions!$B$6,0)</f>
        <v>0</v>
      </c>
      <c r="K10" s="27" t="n">
        <f aca="false">MAX(0,I10+J10-D10)</f>
        <v>0</v>
      </c>
      <c r="L10" s="28" t="n">
        <f aca="false">K10*C10</f>
        <v>0</v>
      </c>
      <c r="M10" s="25" t="str">
        <f aca="false">IF(H10=0,"No sales",D10/(H10*(1+Assumptions!$B$5)))</f>
        <v>No sales</v>
      </c>
      <c r="N10" s="22" t="str">
        <f aca="false">IF(AND(D10=0,H10&gt;0),"OUT OF STOCK — reorder now",IF(H10=0,"No sales yet — hold",IF(D10&lt;H10*(1+Assumptions!$B$5)*(Assumptions!$B$7+Assumptions!$B$6),"Reorder soon",IF(K10=0,"Covered for 2027","Reorder in 2027"))))</f>
        <v>No sales yet — hold</v>
      </c>
    </row>
    <row r="11" customFormat="false" ht="15" hidden="false" customHeight="false" outlineLevel="0" collapsed="false">
      <c r="A11" s="22" t="s">
        <v>51</v>
      </c>
      <c r="B11" s="22" t="s">
        <v>49</v>
      </c>
      <c r="C11" s="23" t="n">
        <f aca="false">'Current Stock'!F10</f>
        <v>80</v>
      </c>
      <c r="D11" s="6" t="n">
        <f aca="false">'Current Stock'!G10</f>
        <v>3</v>
      </c>
      <c r="E11" s="24" t="n">
        <v>46272</v>
      </c>
      <c r="F11" s="25" t="n">
        <f aca="false">MIN(Assumptions!$B$8,MAX(1,ROUND((Assumptions!$B$9-E11)/30.4,1)))</f>
        <v>1.1</v>
      </c>
      <c r="G11" s="16" t="n">
        <v>0</v>
      </c>
      <c r="H11" s="26" t="n">
        <f aca="false">G11/F11</f>
        <v>0</v>
      </c>
      <c r="I11" s="27" t="n">
        <f aca="false">ROUNDUP(H11*12*(1+Assumptions!$B$5),0)</f>
        <v>0</v>
      </c>
      <c r="J11" s="27" t="n">
        <f aca="false">ROUNDUP(H11*Assumptions!$B$6,0)</f>
        <v>0</v>
      </c>
      <c r="K11" s="27" t="n">
        <f aca="false">MAX(0,I11+J11-D11)</f>
        <v>0</v>
      </c>
      <c r="L11" s="28" t="n">
        <f aca="false">K11*C11</f>
        <v>0</v>
      </c>
      <c r="M11" s="25" t="str">
        <f aca="false">IF(H11=0,"No sales",D11/(H11*(1+Assumptions!$B$5)))</f>
        <v>No sales</v>
      </c>
      <c r="N11" s="22" t="str">
        <f aca="false">IF(AND(D11=0,H11&gt;0),"OUT OF STOCK — reorder now",IF(H11=0,"No sales yet — hold",IF(D11&lt;H11*(1+Assumptions!$B$5)*(Assumptions!$B$7+Assumptions!$B$6),"Reorder soon",IF(K11=0,"Covered for 2027","Reorder in 2027"))))</f>
        <v>No sales yet — hold</v>
      </c>
    </row>
    <row r="12" customFormat="false" ht="15" hidden="false" customHeight="false" outlineLevel="0" collapsed="false">
      <c r="A12" s="22" t="s">
        <v>51</v>
      </c>
      <c r="B12" s="22" t="s">
        <v>50</v>
      </c>
      <c r="C12" s="23" t="n">
        <f aca="false">'Current Stock'!F11</f>
        <v>80</v>
      </c>
      <c r="D12" s="6" t="n">
        <f aca="false">'Current Stock'!G11</f>
        <v>2</v>
      </c>
      <c r="E12" s="24" t="n">
        <v>46272</v>
      </c>
      <c r="F12" s="25" t="n">
        <f aca="false">MIN(Assumptions!$B$8,MAX(1,ROUND((Assumptions!$B$9-E12)/30.4,1)))</f>
        <v>1.1</v>
      </c>
      <c r="G12" s="16" t="n">
        <v>0</v>
      </c>
      <c r="H12" s="26" t="n">
        <f aca="false">G12/F12</f>
        <v>0</v>
      </c>
      <c r="I12" s="27" t="n">
        <f aca="false">ROUNDUP(H12*12*(1+Assumptions!$B$5),0)</f>
        <v>0</v>
      </c>
      <c r="J12" s="27" t="n">
        <f aca="false">ROUNDUP(H12*Assumptions!$B$6,0)</f>
        <v>0</v>
      </c>
      <c r="K12" s="27" t="n">
        <f aca="false">MAX(0,I12+J12-D12)</f>
        <v>0</v>
      </c>
      <c r="L12" s="28" t="n">
        <f aca="false">K12*C12</f>
        <v>0</v>
      </c>
      <c r="M12" s="25" t="str">
        <f aca="false">IF(H12=0,"No sales",D12/(H12*(1+Assumptions!$B$5)))</f>
        <v>No sales</v>
      </c>
      <c r="N12" s="22" t="str">
        <f aca="false">IF(AND(D12=0,H12&gt;0),"OUT OF STOCK — reorder now",IF(H12=0,"No sales yet — hold",IF(D12&lt;H12*(1+Assumptions!$B$5)*(Assumptions!$B$7+Assumptions!$B$6),"Reorder soon",IF(K12=0,"Covered for 2027","Reorder in 2027"))))</f>
        <v>No sales yet — hold</v>
      </c>
    </row>
    <row r="13" customFormat="false" ht="15" hidden="false" customHeight="false" outlineLevel="0" collapsed="false">
      <c r="A13" s="22" t="s">
        <v>52</v>
      </c>
      <c r="B13" s="22" t="s">
        <v>53</v>
      </c>
      <c r="C13" s="23" t="n">
        <f aca="false">'Current Stock'!F12</f>
        <v>10</v>
      </c>
      <c r="D13" s="6" t="n">
        <f aca="false">'Current Stock'!G12</f>
        <v>94</v>
      </c>
      <c r="E13" s="24" t="n">
        <v>46167</v>
      </c>
      <c r="F13" s="25" t="n">
        <f aca="false">MIN(Assumptions!$B$8,MAX(1,ROUND((Assumptions!$B$9-E13)/30.4,1)))</f>
        <v>4.5</v>
      </c>
      <c r="G13" s="16" t="n">
        <v>6</v>
      </c>
      <c r="H13" s="26" t="n">
        <f aca="false">G13/F13</f>
        <v>1.33333333333333</v>
      </c>
      <c r="I13" s="27" t="n">
        <f aca="false">ROUNDUP(H13*12*(1+Assumptions!$B$5),0)</f>
        <v>20</v>
      </c>
      <c r="J13" s="27" t="n">
        <f aca="false">ROUNDUP(H13*Assumptions!$B$6,0)</f>
        <v>3</v>
      </c>
      <c r="K13" s="27" t="n">
        <f aca="false">MAX(0,I13+J13-D13)</f>
        <v>0</v>
      </c>
      <c r="L13" s="28" t="n">
        <f aca="false">K13*C13</f>
        <v>0</v>
      </c>
      <c r="M13" s="25" t="n">
        <f aca="false">IF(H13=0,"No sales",D13/(H13*(1+Assumptions!$B$5)))</f>
        <v>58.75</v>
      </c>
      <c r="N13" s="22" t="str">
        <f aca="false">IF(AND(D13=0,H13&gt;0),"OUT OF STOCK — reorder now",IF(H13=0,"No sales yet — hold",IF(D13&lt;H13*(1+Assumptions!$B$5)*(Assumptions!$B$7+Assumptions!$B$6),"Reorder soon",IF(K13=0,"Covered for 2027","Reorder in 2027"))))</f>
        <v>Covered for 2027</v>
      </c>
    </row>
    <row r="14" customFormat="false" ht="15" hidden="false" customHeight="false" outlineLevel="0" collapsed="false">
      <c r="A14" s="22" t="s">
        <v>56</v>
      </c>
      <c r="B14" s="22" t="s">
        <v>57</v>
      </c>
      <c r="C14" s="23" t="n">
        <f aca="false">'Current Stock'!F13</f>
        <v>10</v>
      </c>
      <c r="D14" s="6" t="n">
        <f aca="false">'Current Stock'!G13</f>
        <v>91</v>
      </c>
      <c r="E14" s="24" t="n">
        <v>46164</v>
      </c>
      <c r="F14" s="25" t="n">
        <f aca="false">MIN(Assumptions!$B$8,MAX(1,ROUND((Assumptions!$B$9-E14)/30.4,1)))</f>
        <v>4.6</v>
      </c>
      <c r="G14" s="16" t="n">
        <v>8</v>
      </c>
      <c r="H14" s="26" t="n">
        <f aca="false">G14/F14</f>
        <v>1.73913043478261</v>
      </c>
      <c r="I14" s="27" t="n">
        <f aca="false">ROUNDUP(H14*12*(1+Assumptions!$B$5),0)</f>
        <v>26</v>
      </c>
      <c r="J14" s="27" t="n">
        <f aca="false">ROUNDUP(H14*Assumptions!$B$6,0)</f>
        <v>4</v>
      </c>
      <c r="K14" s="27" t="n">
        <f aca="false">MAX(0,I14+J14-D14)</f>
        <v>0</v>
      </c>
      <c r="L14" s="28" t="n">
        <f aca="false">K14*C14</f>
        <v>0</v>
      </c>
      <c r="M14" s="25" t="n">
        <f aca="false">IF(H14=0,"No sales",D14/(H14*(1+Assumptions!$B$5)))</f>
        <v>43.6041666666667</v>
      </c>
      <c r="N14" s="22" t="str">
        <f aca="false">IF(AND(D14=0,H14&gt;0),"OUT OF STOCK — reorder now",IF(H14=0,"No sales yet — hold",IF(D14&lt;H14*(1+Assumptions!$B$5)*(Assumptions!$B$7+Assumptions!$B$6),"Reorder soon",IF(K14=0,"Covered for 2027","Reorder in 2027"))))</f>
        <v>Covered for 2027</v>
      </c>
    </row>
    <row r="15" customFormat="false" ht="15" hidden="false" customHeight="false" outlineLevel="0" collapsed="false">
      <c r="A15" s="22" t="s">
        <v>59</v>
      </c>
      <c r="B15" s="22" t="s">
        <v>60</v>
      </c>
      <c r="C15" s="23" t="n">
        <f aca="false">'Current Stock'!F14</f>
        <v>10</v>
      </c>
      <c r="D15" s="6" t="n">
        <f aca="false">'Current Stock'!G14</f>
        <v>91</v>
      </c>
      <c r="E15" s="24" t="n">
        <v>46169</v>
      </c>
      <c r="F15" s="25" t="n">
        <f aca="false">MIN(Assumptions!$B$8,MAX(1,ROUND((Assumptions!$B$9-E15)/30.4,1)))</f>
        <v>4.4</v>
      </c>
      <c r="G15" s="16" t="n">
        <v>8</v>
      </c>
      <c r="H15" s="26" t="n">
        <f aca="false">G15/F15</f>
        <v>1.81818181818182</v>
      </c>
      <c r="I15" s="27" t="n">
        <f aca="false">ROUNDUP(H15*12*(1+Assumptions!$B$5),0)</f>
        <v>27</v>
      </c>
      <c r="J15" s="27" t="n">
        <f aca="false">ROUNDUP(H15*Assumptions!$B$6,0)</f>
        <v>4</v>
      </c>
      <c r="K15" s="27" t="n">
        <f aca="false">MAX(0,I15+J15-D15)</f>
        <v>0</v>
      </c>
      <c r="L15" s="28" t="n">
        <f aca="false">K15*C15</f>
        <v>0</v>
      </c>
      <c r="M15" s="25" t="n">
        <f aca="false">IF(H15=0,"No sales",D15/(H15*(1+Assumptions!$B$5)))</f>
        <v>41.7083333333333</v>
      </c>
      <c r="N15" s="22" t="str">
        <f aca="false">IF(AND(D15=0,H15&gt;0),"OUT OF STOCK — reorder now",IF(H15=0,"No sales yet — hold",IF(D15&lt;H15*(1+Assumptions!$B$5)*(Assumptions!$B$7+Assumptions!$B$6),"Reorder soon",IF(K15=0,"Covered for 2027","Reorder in 2027"))))</f>
        <v>Covered for 2027</v>
      </c>
    </row>
    <row r="16" customFormat="false" ht="15" hidden="false" customHeight="false" outlineLevel="0" collapsed="false">
      <c r="A16" s="22" t="s">
        <v>62</v>
      </c>
      <c r="B16" s="22" t="s">
        <v>63</v>
      </c>
      <c r="C16" s="23" t="n">
        <f aca="false">'Current Stock'!F15</f>
        <v>10</v>
      </c>
      <c r="D16" s="6" t="n">
        <f aca="false">'Current Stock'!G15</f>
        <v>90</v>
      </c>
      <c r="E16" s="24" t="n">
        <v>46164</v>
      </c>
      <c r="F16" s="25" t="n">
        <f aca="false">MIN(Assumptions!$B$8,MAX(1,ROUND((Assumptions!$B$9-E16)/30.4,1)))</f>
        <v>4.6</v>
      </c>
      <c r="G16" s="16" t="n">
        <v>9</v>
      </c>
      <c r="H16" s="26" t="n">
        <f aca="false">G16/F16</f>
        <v>1.95652173913044</v>
      </c>
      <c r="I16" s="27" t="n">
        <f aca="false">ROUNDUP(H16*12*(1+Assumptions!$B$5),0)</f>
        <v>29</v>
      </c>
      <c r="J16" s="27" t="n">
        <f aca="false">ROUNDUP(H16*Assumptions!$B$6,0)</f>
        <v>4</v>
      </c>
      <c r="K16" s="27" t="n">
        <f aca="false">MAX(0,I16+J16-D16)</f>
        <v>0</v>
      </c>
      <c r="L16" s="28" t="n">
        <f aca="false">K16*C16</f>
        <v>0</v>
      </c>
      <c r="M16" s="25" t="n">
        <f aca="false">IF(H16=0,"No sales",D16/(H16*(1+Assumptions!$B$5)))</f>
        <v>38.3333333333333</v>
      </c>
      <c r="N16" s="22" t="str">
        <f aca="false">IF(AND(D16=0,H16&gt;0),"OUT OF STOCK — reorder now",IF(H16=0,"No sales yet — hold",IF(D16&lt;H16*(1+Assumptions!$B$5)*(Assumptions!$B$7+Assumptions!$B$6),"Reorder soon",IF(K16=0,"Covered for 2027","Reorder in 2027"))))</f>
        <v>Covered for 2027</v>
      </c>
    </row>
    <row r="17" customFormat="false" ht="15" hidden="false" customHeight="false" outlineLevel="0" collapsed="false">
      <c r="A17" s="22" t="s">
        <v>65</v>
      </c>
      <c r="B17" s="22" t="s">
        <v>45</v>
      </c>
      <c r="C17" s="23" t="n">
        <f aca="false">'Current Stock'!F16</f>
        <v>45</v>
      </c>
      <c r="D17" s="6" t="n">
        <f aca="false">'Current Stock'!G16</f>
        <v>8</v>
      </c>
      <c r="E17" s="24" t="n">
        <v>46272</v>
      </c>
      <c r="F17" s="25" t="n">
        <f aca="false">MIN(Assumptions!$B$8,MAX(1,ROUND((Assumptions!$B$9-E17)/30.4,1)))</f>
        <v>1.1</v>
      </c>
      <c r="G17" s="16" t="n">
        <v>0</v>
      </c>
      <c r="H17" s="26" t="n">
        <f aca="false">G17/F17</f>
        <v>0</v>
      </c>
      <c r="I17" s="27" t="n">
        <f aca="false">ROUNDUP(H17*12*(1+Assumptions!$B$5),0)</f>
        <v>0</v>
      </c>
      <c r="J17" s="27" t="n">
        <f aca="false">ROUNDUP(H17*Assumptions!$B$6,0)</f>
        <v>0</v>
      </c>
      <c r="K17" s="27" t="n">
        <f aca="false">MAX(0,I17+J17-D17)</f>
        <v>0</v>
      </c>
      <c r="L17" s="28" t="n">
        <f aca="false">K17*C17</f>
        <v>0</v>
      </c>
      <c r="M17" s="25" t="str">
        <f aca="false">IF(H17=0,"No sales",D17/(H17*(1+Assumptions!$B$5)))</f>
        <v>No sales</v>
      </c>
      <c r="N17" s="22" t="str">
        <f aca="false">IF(AND(D17=0,H17&gt;0),"OUT OF STOCK — reorder now",IF(H17=0,"No sales yet — hold",IF(D17&lt;H17*(1+Assumptions!$B$5)*(Assumptions!$B$7+Assumptions!$B$6),"Reorder soon",IF(K17=0,"Covered for 2027","Reorder in 2027"))))</f>
        <v>No sales yet — hold</v>
      </c>
    </row>
    <row r="18" customFormat="false" ht="15" hidden="false" customHeight="false" outlineLevel="0" collapsed="false">
      <c r="A18" s="22" t="s">
        <v>65</v>
      </c>
      <c r="B18" s="22" t="s">
        <v>48</v>
      </c>
      <c r="C18" s="23" t="n">
        <f aca="false">'Current Stock'!F17</f>
        <v>45</v>
      </c>
      <c r="D18" s="6" t="n">
        <f aca="false">'Current Stock'!G17</f>
        <v>15</v>
      </c>
      <c r="E18" s="24" t="n">
        <v>46272</v>
      </c>
      <c r="F18" s="25" t="n">
        <f aca="false">MIN(Assumptions!$B$8,MAX(1,ROUND((Assumptions!$B$9-E18)/30.4,1)))</f>
        <v>1.1</v>
      </c>
      <c r="G18" s="16" t="n">
        <v>0</v>
      </c>
      <c r="H18" s="26" t="n">
        <f aca="false">G18/F18</f>
        <v>0</v>
      </c>
      <c r="I18" s="27" t="n">
        <f aca="false">ROUNDUP(H18*12*(1+Assumptions!$B$5),0)</f>
        <v>0</v>
      </c>
      <c r="J18" s="27" t="n">
        <f aca="false">ROUNDUP(H18*Assumptions!$B$6,0)</f>
        <v>0</v>
      </c>
      <c r="K18" s="27" t="n">
        <f aca="false">MAX(0,I18+J18-D18)</f>
        <v>0</v>
      </c>
      <c r="L18" s="28" t="n">
        <f aca="false">K18*C18</f>
        <v>0</v>
      </c>
      <c r="M18" s="25" t="str">
        <f aca="false">IF(H18=0,"No sales",D18/(H18*(1+Assumptions!$B$5)))</f>
        <v>No sales</v>
      </c>
      <c r="N18" s="22" t="str">
        <f aca="false">IF(AND(D18=0,H18&gt;0),"OUT OF STOCK — reorder now",IF(H18=0,"No sales yet — hold",IF(D18&lt;H18*(1+Assumptions!$B$5)*(Assumptions!$B$7+Assumptions!$B$6),"Reorder soon",IF(K18=0,"Covered for 2027","Reorder in 2027"))))</f>
        <v>No sales yet — hold</v>
      </c>
    </row>
    <row r="19" customFormat="false" ht="15" hidden="false" customHeight="false" outlineLevel="0" collapsed="false">
      <c r="A19" s="22" t="s">
        <v>65</v>
      </c>
      <c r="B19" s="22" t="s">
        <v>49</v>
      </c>
      <c r="C19" s="23" t="n">
        <f aca="false">'Current Stock'!F18</f>
        <v>45</v>
      </c>
      <c r="D19" s="6" t="n">
        <f aca="false">'Current Stock'!G18</f>
        <v>11</v>
      </c>
      <c r="E19" s="24" t="n">
        <v>46272</v>
      </c>
      <c r="F19" s="25" t="n">
        <f aca="false">MIN(Assumptions!$B$8,MAX(1,ROUND((Assumptions!$B$9-E19)/30.4,1)))</f>
        <v>1.1</v>
      </c>
      <c r="G19" s="16" t="n">
        <v>1</v>
      </c>
      <c r="H19" s="26" t="n">
        <f aca="false">G19/F19</f>
        <v>0.909090909090909</v>
      </c>
      <c r="I19" s="27" t="n">
        <f aca="false">ROUNDUP(H19*12*(1+Assumptions!$B$5),0)</f>
        <v>14</v>
      </c>
      <c r="J19" s="27" t="n">
        <f aca="false">ROUNDUP(H19*Assumptions!$B$6,0)</f>
        <v>2</v>
      </c>
      <c r="K19" s="27" t="n">
        <f aca="false">MAX(0,I19+J19-D19)</f>
        <v>5</v>
      </c>
      <c r="L19" s="28" t="n">
        <f aca="false">K19*C19</f>
        <v>225</v>
      </c>
      <c r="M19" s="25" t="n">
        <f aca="false">IF(H19=0,"No sales",D19/(H19*(1+Assumptions!$B$5)))</f>
        <v>10.0833333333333</v>
      </c>
      <c r="N19" s="22" t="str">
        <f aca="false">IF(AND(D19=0,H19&gt;0),"OUT OF STOCK — reorder now",IF(H19=0,"No sales yet — hold",IF(D19&lt;H19*(1+Assumptions!$B$5)*(Assumptions!$B$7+Assumptions!$B$6),"Reorder soon",IF(K19=0,"Covered for 2027","Reorder in 2027"))))</f>
        <v>Reorder in 2027</v>
      </c>
    </row>
    <row r="20" customFormat="false" ht="15" hidden="false" customHeight="false" outlineLevel="0" collapsed="false">
      <c r="A20" s="22" t="s">
        <v>65</v>
      </c>
      <c r="B20" s="22" t="s">
        <v>50</v>
      </c>
      <c r="C20" s="23" t="n">
        <f aca="false">'Current Stock'!F19</f>
        <v>45</v>
      </c>
      <c r="D20" s="6" t="n">
        <f aca="false">'Current Stock'!G19</f>
        <v>21</v>
      </c>
      <c r="E20" s="24" t="n">
        <v>46272</v>
      </c>
      <c r="F20" s="25" t="n">
        <f aca="false">MIN(Assumptions!$B$8,MAX(1,ROUND((Assumptions!$B$9-E20)/30.4,1)))</f>
        <v>1.1</v>
      </c>
      <c r="G20" s="16" t="n">
        <v>0</v>
      </c>
      <c r="H20" s="26" t="n">
        <f aca="false">G20/F20</f>
        <v>0</v>
      </c>
      <c r="I20" s="27" t="n">
        <f aca="false">ROUNDUP(H20*12*(1+Assumptions!$B$5),0)</f>
        <v>0</v>
      </c>
      <c r="J20" s="27" t="n">
        <f aca="false">ROUNDUP(H20*Assumptions!$B$6,0)</f>
        <v>0</v>
      </c>
      <c r="K20" s="27" t="n">
        <f aca="false">MAX(0,I20+J20-D20)</f>
        <v>0</v>
      </c>
      <c r="L20" s="28" t="n">
        <f aca="false">K20*C20</f>
        <v>0</v>
      </c>
      <c r="M20" s="25" t="str">
        <f aca="false">IF(H20=0,"No sales",D20/(H20*(1+Assumptions!$B$5)))</f>
        <v>No sales</v>
      </c>
      <c r="N20" s="22" t="str">
        <f aca="false">IF(AND(D20=0,H20&gt;0),"OUT OF STOCK — reorder now",IF(H20=0,"No sales yet — hold",IF(D20&lt;H20*(1+Assumptions!$B$5)*(Assumptions!$B$7+Assumptions!$B$6),"Reorder soon",IF(K20=0,"Covered for 2027","Reorder in 2027"))))</f>
        <v>No sales yet — hold</v>
      </c>
    </row>
    <row r="21" customFormat="false" ht="15" hidden="false" customHeight="false" outlineLevel="0" collapsed="false">
      <c r="A21" s="22" t="s">
        <v>65</v>
      </c>
      <c r="B21" s="22" t="s">
        <v>67</v>
      </c>
      <c r="C21" s="23" t="n">
        <f aca="false">'Current Stock'!F20</f>
        <v>45</v>
      </c>
      <c r="D21" s="6" t="n">
        <f aca="false">'Current Stock'!G20</f>
        <v>8</v>
      </c>
      <c r="E21" s="24" t="n">
        <v>46272</v>
      </c>
      <c r="F21" s="25" t="n">
        <f aca="false">MIN(Assumptions!$B$8,MAX(1,ROUND((Assumptions!$B$9-E21)/30.4,1)))</f>
        <v>1.1</v>
      </c>
      <c r="G21" s="16" t="n">
        <v>0</v>
      </c>
      <c r="H21" s="26" t="n">
        <f aca="false">G21/F21</f>
        <v>0</v>
      </c>
      <c r="I21" s="27" t="n">
        <f aca="false">ROUNDUP(H21*12*(1+Assumptions!$B$5),0)</f>
        <v>0</v>
      </c>
      <c r="J21" s="27" t="n">
        <f aca="false">ROUNDUP(H21*Assumptions!$B$6,0)</f>
        <v>0</v>
      </c>
      <c r="K21" s="27" t="n">
        <f aca="false">MAX(0,I21+J21-D21)</f>
        <v>0</v>
      </c>
      <c r="L21" s="28" t="n">
        <f aca="false">K21*C21</f>
        <v>0</v>
      </c>
      <c r="M21" s="25" t="str">
        <f aca="false">IF(H21=0,"No sales",D21/(H21*(1+Assumptions!$B$5)))</f>
        <v>No sales</v>
      </c>
      <c r="N21" s="22" t="str">
        <f aca="false">IF(AND(D21=0,H21&gt;0),"OUT OF STOCK — reorder now",IF(H21=0,"No sales yet — hold",IF(D21&lt;H21*(1+Assumptions!$B$5)*(Assumptions!$B$7+Assumptions!$B$6),"Reorder soon",IF(K21=0,"Covered for 2027","Reorder in 2027"))))</f>
        <v>No sales yet — hold</v>
      </c>
    </row>
    <row r="22" customFormat="false" ht="15" hidden="false" customHeight="false" outlineLevel="0" collapsed="false">
      <c r="A22" s="22" t="s">
        <v>68</v>
      </c>
      <c r="B22" s="22" t="s">
        <v>45</v>
      </c>
      <c r="C22" s="23" t="n">
        <f aca="false">'Current Stock'!F21</f>
        <v>120</v>
      </c>
      <c r="D22" s="6" t="n">
        <f aca="false">'Current Stock'!G21</f>
        <v>0</v>
      </c>
      <c r="E22" s="24" t="n">
        <v>45985</v>
      </c>
      <c r="F22" s="25" t="n">
        <f aca="false">MIN(Assumptions!$B$8,MAX(1,ROUND((Assumptions!$B$9-E22)/30.4,1)))</f>
        <v>10.5</v>
      </c>
      <c r="G22" s="16" t="n">
        <v>2</v>
      </c>
      <c r="H22" s="26" t="n">
        <f aca="false">G22/F22</f>
        <v>0.19047619047619</v>
      </c>
      <c r="I22" s="27" t="n">
        <f aca="false">ROUNDUP(H22*12*(1+Assumptions!$B$5),0)</f>
        <v>3</v>
      </c>
      <c r="J22" s="27" t="n">
        <f aca="false">ROUNDUP(H22*Assumptions!$B$6,0)</f>
        <v>1</v>
      </c>
      <c r="K22" s="27" t="n">
        <f aca="false">MAX(0,I22+J22-D22)</f>
        <v>4</v>
      </c>
      <c r="L22" s="28" t="n">
        <f aca="false">K22*C22</f>
        <v>480</v>
      </c>
      <c r="M22" s="25" t="n">
        <f aca="false">IF(H22=0,"No sales",D22/(H22*(1+Assumptions!$B$5)))</f>
        <v>0</v>
      </c>
      <c r="N22" s="22" t="str">
        <f aca="false">IF(AND(D22=0,H22&gt;0),"OUT OF STOCK — reorder now",IF(H22=0,"No sales yet — hold",IF(D22&lt;H22*(1+Assumptions!$B$5)*(Assumptions!$B$7+Assumptions!$B$6),"Reorder soon",IF(K22=0,"Covered for 2027","Reorder in 2027"))))</f>
        <v>OUT OF STOCK — reorder now</v>
      </c>
    </row>
    <row r="23" customFormat="false" ht="15" hidden="false" customHeight="false" outlineLevel="0" collapsed="false">
      <c r="A23" s="22" t="s">
        <v>68</v>
      </c>
      <c r="B23" s="22" t="s">
        <v>48</v>
      </c>
      <c r="C23" s="23" t="n">
        <f aca="false">'Current Stock'!F22</f>
        <v>120</v>
      </c>
      <c r="D23" s="6" t="n">
        <f aca="false">'Current Stock'!G22</f>
        <v>0</v>
      </c>
      <c r="E23" s="24" t="n">
        <v>45985</v>
      </c>
      <c r="F23" s="25" t="n">
        <f aca="false">MIN(Assumptions!$B$8,MAX(1,ROUND((Assumptions!$B$9-E23)/30.4,1)))</f>
        <v>10.5</v>
      </c>
      <c r="G23" s="16" t="n">
        <v>4</v>
      </c>
      <c r="H23" s="26" t="n">
        <f aca="false">G23/F23</f>
        <v>0.380952380952381</v>
      </c>
      <c r="I23" s="27" t="n">
        <f aca="false">ROUNDUP(H23*12*(1+Assumptions!$B$5),0)</f>
        <v>6</v>
      </c>
      <c r="J23" s="27" t="n">
        <f aca="false">ROUNDUP(H23*Assumptions!$B$6,0)</f>
        <v>1</v>
      </c>
      <c r="K23" s="27" t="n">
        <f aca="false">MAX(0,I23+J23-D23)</f>
        <v>7</v>
      </c>
      <c r="L23" s="28" t="n">
        <f aca="false">K23*C23</f>
        <v>840</v>
      </c>
      <c r="M23" s="25" t="n">
        <f aca="false">IF(H23=0,"No sales",D23/(H23*(1+Assumptions!$B$5)))</f>
        <v>0</v>
      </c>
      <c r="N23" s="22" t="str">
        <f aca="false">IF(AND(D23=0,H23&gt;0),"OUT OF STOCK — reorder now",IF(H23=0,"No sales yet — hold",IF(D23&lt;H23*(1+Assumptions!$B$5)*(Assumptions!$B$7+Assumptions!$B$6),"Reorder soon",IF(K23=0,"Covered for 2027","Reorder in 2027"))))</f>
        <v>OUT OF STOCK — reorder now</v>
      </c>
    </row>
    <row r="24" customFormat="false" ht="15" hidden="false" customHeight="false" outlineLevel="0" collapsed="false">
      <c r="A24" s="22" t="s">
        <v>68</v>
      </c>
      <c r="B24" s="22" t="s">
        <v>49</v>
      </c>
      <c r="C24" s="23" t="n">
        <f aca="false">'Current Stock'!F23</f>
        <v>120</v>
      </c>
      <c r="D24" s="6" t="n">
        <f aca="false">'Current Stock'!G23</f>
        <v>0</v>
      </c>
      <c r="E24" s="24" t="n">
        <v>45985</v>
      </c>
      <c r="F24" s="25" t="n">
        <f aca="false">MIN(Assumptions!$B$8,MAX(1,ROUND((Assumptions!$B$9-E24)/30.4,1)))</f>
        <v>10.5</v>
      </c>
      <c r="G24" s="16" t="n">
        <v>3</v>
      </c>
      <c r="H24" s="26" t="n">
        <f aca="false">G24/F24</f>
        <v>0.285714285714286</v>
      </c>
      <c r="I24" s="27" t="n">
        <f aca="false">ROUNDUP(H24*12*(1+Assumptions!$B$5),0)</f>
        <v>5</v>
      </c>
      <c r="J24" s="27" t="n">
        <f aca="false">ROUNDUP(H24*Assumptions!$B$6,0)</f>
        <v>1</v>
      </c>
      <c r="K24" s="27" t="n">
        <f aca="false">MAX(0,I24+J24-D24)</f>
        <v>6</v>
      </c>
      <c r="L24" s="28" t="n">
        <f aca="false">K24*C24</f>
        <v>720</v>
      </c>
      <c r="M24" s="25" t="n">
        <f aca="false">IF(H24=0,"No sales",D24/(H24*(1+Assumptions!$B$5)))</f>
        <v>0</v>
      </c>
      <c r="N24" s="22" t="str">
        <f aca="false">IF(AND(D24=0,H24&gt;0),"OUT OF STOCK — reorder now",IF(H24=0,"No sales yet — hold",IF(D24&lt;H24*(1+Assumptions!$B$5)*(Assumptions!$B$7+Assumptions!$B$6),"Reorder soon",IF(K24=0,"Covered for 2027","Reorder in 2027"))))</f>
        <v>OUT OF STOCK — reorder now</v>
      </c>
    </row>
    <row r="25" customFormat="false" ht="15" hidden="false" customHeight="false" outlineLevel="0" collapsed="false">
      <c r="A25" s="22" t="s">
        <v>68</v>
      </c>
      <c r="B25" s="22" t="s">
        <v>50</v>
      </c>
      <c r="C25" s="23" t="n">
        <f aca="false">'Current Stock'!F24</f>
        <v>120</v>
      </c>
      <c r="D25" s="6" t="n">
        <f aca="false">'Current Stock'!G24</f>
        <v>0</v>
      </c>
      <c r="E25" s="24" t="n">
        <v>45985</v>
      </c>
      <c r="F25" s="25" t="n">
        <f aca="false">MIN(Assumptions!$B$8,MAX(1,ROUND((Assumptions!$B$9-E25)/30.4,1)))</f>
        <v>10.5</v>
      </c>
      <c r="G25" s="16" t="n">
        <v>0</v>
      </c>
      <c r="H25" s="26" t="n">
        <f aca="false">G25/F25</f>
        <v>0</v>
      </c>
      <c r="I25" s="27" t="n">
        <f aca="false">ROUNDUP(H25*12*(1+Assumptions!$B$5),0)</f>
        <v>0</v>
      </c>
      <c r="J25" s="27" t="n">
        <f aca="false">ROUNDUP(H25*Assumptions!$B$6,0)</f>
        <v>0</v>
      </c>
      <c r="K25" s="27" t="n">
        <f aca="false">MAX(0,I25+J25-D25)</f>
        <v>0</v>
      </c>
      <c r="L25" s="28" t="n">
        <f aca="false">K25*C25</f>
        <v>0</v>
      </c>
      <c r="M25" s="25" t="str">
        <f aca="false">IF(H25=0,"No sales",D25/(H25*(1+Assumptions!$B$5)))</f>
        <v>No sales</v>
      </c>
      <c r="N25" s="22" t="str">
        <f aca="false">IF(AND(D25=0,H25&gt;0),"OUT OF STOCK — reorder now",IF(H25=0,"No sales yet — hold",IF(D25&lt;H25*(1+Assumptions!$B$5)*(Assumptions!$B$7+Assumptions!$B$6),"Reorder soon",IF(K25=0,"Covered for 2027","Reorder in 2027"))))</f>
        <v>No sales yet — hold</v>
      </c>
    </row>
    <row r="26" customFormat="false" ht="15" hidden="false" customHeight="false" outlineLevel="0" collapsed="false">
      <c r="A26" s="22" t="s">
        <v>68</v>
      </c>
      <c r="B26" s="22" t="s">
        <v>67</v>
      </c>
      <c r="C26" s="23" t="n">
        <f aca="false">'Current Stock'!F25</f>
        <v>120</v>
      </c>
      <c r="D26" s="6" t="n">
        <f aca="false">'Current Stock'!G25</f>
        <v>0</v>
      </c>
      <c r="E26" s="24" t="n">
        <v>45985</v>
      </c>
      <c r="F26" s="25" t="n">
        <f aca="false">MIN(Assumptions!$B$8,MAX(1,ROUND((Assumptions!$B$9-E26)/30.4,1)))</f>
        <v>10.5</v>
      </c>
      <c r="G26" s="16" t="n">
        <v>2</v>
      </c>
      <c r="H26" s="26" t="n">
        <f aca="false">G26/F26</f>
        <v>0.19047619047619</v>
      </c>
      <c r="I26" s="27" t="n">
        <f aca="false">ROUNDUP(H26*12*(1+Assumptions!$B$5),0)</f>
        <v>3</v>
      </c>
      <c r="J26" s="27" t="n">
        <f aca="false">ROUNDUP(H26*Assumptions!$B$6,0)</f>
        <v>1</v>
      </c>
      <c r="K26" s="27" t="n">
        <f aca="false">MAX(0,I26+J26-D26)</f>
        <v>4</v>
      </c>
      <c r="L26" s="28" t="n">
        <f aca="false">K26*C26</f>
        <v>480</v>
      </c>
      <c r="M26" s="25" t="n">
        <f aca="false">IF(H26=0,"No sales",D26/(H26*(1+Assumptions!$B$5)))</f>
        <v>0</v>
      </c>
      <c r="N26" s="22" t="str">
        <f aca="false">IF(AND(D26=0,H26&gt;0),"OUT OF STOCK — reorder now",IF(H26=0,"No sales yet — hold",IF(D26&lt;H26*(1+Assumptions!$B$5)*(Assumptions!$B$7+Assumptions!$B$6),"Reorder soon",IF(K26=0,"Covered for 2027","Reorder in 2027"))))</f>
        <v>OUT OF STOCK — reorder now</v>
      </c>
    </row>
    <row r="27" customFormat="false" ht="15" hidden="false" customHeight="false" outlineLevel="0" collapsed="false">
      <c r="A27" s="13" t="s">
        <v>101</v>
      </c>
      <c r="B27" s="2"/>
      <c r="C27" s="2"/>
      <c r="D27" s="18" t="n">
        <f aca="false">SUM(D5:D26)</f>
        <v>450</v>
      </c>
      <c r="E27" s="2"/>
      <c r="F27" s="2"/>
      <c r="G27" s="18" t="n">
        <f aca="false">SUM(G5:G26)</f>
        <v>44</v>
      </c>
      <c r="H27" s="2"/>
      <c r="I27" s="18" t="n">
        <f aca="false">SUM(I5:I26)</f>
        <v>136</v>
      </c>
      <c r="J27" s="18" t="n">
        <f aca="false">SUM(J5:J26)</f>
        <v>22</v>
      </c>
      <c r="K27" s="18" t="n">
        <f aca="false">SUM(K5:K26)</f>
        <v>28</v>
      </c>
      <c r="L27" s="19" t="n">
        <f aca="false">SUM(L5:L26)</f>
        <v>2905</v>
      </c>
      <c r="M27" s="2"/>
      <c r="N27" s="2"/>
    </row>
  </sheetData>
  <autoFilter ref="A4:N26"/>
  <conditionalFormatting sqref="N5:N26">
    <cfRule type="expression" priority="2" aboveAverage="0" equalAverage="0" bottom="0" percent="0" rank="0" text="" dxfId="9">
      <formula>LEFT(N5,3)="OUT"</formula>
    </cfRule>
    <cfRule type="expression" priority="3" aboveAverage="0" equalAverage="0" bottom="0" percent="0" rank="0" text="" dxfId="10">
      <formula>N5="Reorder soon"</formula>
    </cfRule>
    <cfRule type="expression" priority="4" aboveAverage="0" equalAverage="0" bottom="0" percent="0" rank="0" text="" dxfId="11">
      <formula>N5="Covered for 2027"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115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30" hidden="false" customHeight="true" outlineLevel="0" collapsed="false">
      <c r="A3" s="4" t="s">
        <v>116</v>
      </c>
      <c r="B3" s="4" t="s">
        <v>117</v>
      </c>
      <c r="C3" s="4" t="s">
        <v>118</v>
      </c>
    </row>
    <row r="4" customFormat="false" ht="15" hidden="false" customHeight="false" outlineLevel="0" collapsed="false">
      <c r="A4" s="5" t="s">
        <v>119</v>
      </c>
      <c r="B4" s="29" t="n">
        <v>2</v>
      </c>
      <c r="C4" s="30" t="n">
        <v>82</v>
      </c>
    </row>
    <row r="5" customFormat="false" ht="15" hidden="false" customHeight="false" outlineLevel="0" collapsed="false">
      <c r="A5" s="5" t="s">
        <v>120</v>
      </c>
      <c r="B5" s="29" t="n">
        <v>16</v>
      </c>
      <c r="C5" s="30" t="n">
        <v>1282.4</v>
      </c>
    </row>
    <row r="6" customFormat="false" ht="15" hidden="false" customHeight="false" outlineLevel="0" collapsed="false">
      <c r="A6" s="5" t="s">
        <v>121</v>
      </c>
      <c r="B6" s="29" t="n">
        <v>3</v>
      </c>
      <c r="C6" s="30" t="n">
        <v>209</v>
      </c>
    </row>
    <row r="7" customFormat="false" ht="15" hidden="false" customHeight="false" outlineLevel="0" collapsed="false">
      <c r="A7" s="5" t="s">
        <v>122</v>
      </c>
      <c r="B7" s="29" t="n">
        <v>1</v>
      </c>
      <c r="C7" s="30" t="n">
        <v>120</v>
      </c>
    </row>
    <row r="8" customFormat="false" ht="15" hidden="false" customHeight="false" outlineLevel="0" collapsed="false">
      <c r="A8" s="5" t="s">
        <v>123</v>
      </c>
      <c r="B8" s="29" t="n">
        <v>0</v>
      </c>
      <c r="C8" s="30" t="n">
        <v>0</v>
      </c>
    </row>
    <row r="9" customFormat="false" ht="15" hidden="false" customHeight="false" outlineLevel="0" collapsed="false">
      <c r="A9" s="5" t="s">
        <v>124</v>
      </c>
      <c r="B9" s="29" t="n">
        <v>0</v>
      </c>
      <c r="C9" s="30" t="n">
        <v>0</v>
      </c>
    </row>
    <row r="10" customFormat="false" ht="15" hidden="false" customHeight="false" outlineLevel="0" collapsed="false">
      <c r="A10" s="5" t="s">
        <v>125</v>
      </c>
      <c r="B10" s="29" t="n">
        <v>0</v>
      </c>
      <c r="C10" s="30" t="n">
        <v>0</v>
      </c>
    </row>
    <row r="11" customFormat="false" ht="15" hidden="false" customHeight="false" outlineLevel="0" collapsed="false">
      <c r="A11" s="5" t="s">
        <v>126</v>
      </c>
      <c r="B11" s="29" t="n">
        <v>0</v>
      </c>
      <c r="C11" s="30" t="n">
        <v>0</v>
      </c>
    </row>
    <row r="12" customFormat="false" ht="15" hidden="false" customHeight="false" outlineLevel="0" collapsed="false">
      <c r="A12" s="5" t="s">
        <v>127</v>
      </c>
      <c r="B12" s="29" t="n">
        <v>6</v>
      </c>
      <c r="C12" s="30" t="n">
        <v>215.95</v>
      </c>
    </row>
    <row r="13" customFormat="false" ht="15" hidden="false" customHeight="false" outlineLevel="0" collapsed="false">
      <c r="A13" s="5" t="s">
        <v>128</v>
      </c>
      <c r="B13" s="29" t="n">
        <v>11</v>
      </c>
      <c r="C13" s="30" t="n">
        <v>392</v>
      </c>
    </row>
    <row r="14" customFormat="false" ht="15" hidden="false" customHeight="false" outlineLevel="0" collapsed="false">
      <c r="A14" s="5" t="s">
        <v>129</v>
      </c>
      <c r="B14" s="29" t="n">
        <v>1</v>
      </c>
      <c r="C14" s="30" t="n">
        <v>36</v>
      </c>
    </row>
    <row r="15" customFormat="false" ht="15" hidden="false" customHeight="false" outlineLevel="0" collapsed="false">
      <c r="A15" s="5" t="s">
        <v>130</v>
      </c>
      <c r="B15" s="29" t="n">
        <v>0</v>
      </c>
      <c r="C15" s="30" t="n">
        <v>0</v>
      </c>
    </row>
    <row r="16" customFormat="false" ht="15" hidden="false" customHeight="false" outlineLevel="0" collapsed="false">
      <c r="A16" s="5" t="s">
        <v>131</v>
      </c>
      <c r="B16" s="29" t="n">
        <v>13</v>
      </c>
      <c r="C16" s="30" t="n">
        <v>593.25</v>
      </c>
    </row>
    <row r="17" customFormat="false" ht="15" hidden="false" customHeight="false" outlineLevel="0" collapsed="false">
      <c r="A17" s="5" t="s">
        <v>132</v>
      </c>
      <c r="B17" s="29" t="n">
        <v>19</v>
      </c>
      <c r="C17" s="30" t="n">
        <v>1320</v>
      </c>
    </row>
    <row r="18" customFormat="false" ht="15" hidden="false" customHeight="false" outlineLevel="0" collapsed="false">
      <c r="A18" s="5" t="s">
        <v>133</v>
      </c>
      <c r="B18" s="29" t="n">
        <v>2</v>
      </c>
      <c r="C18" s="30" t="n">
        <v>105.99</v>
      </c>
    </row>
    <row r="19" customFormat="false" ht="15" hidden="false" customHeight="false" outlineLevel="0" collapsed="false">
      <c r="A19" s="5" t="s">
        <v>134</v>
      </c>
      <c r="B19" s="29" t="n">
        <v>2</v>
      </c>
      <c r="C19" s="30" t="n">
        <v>130</v>
      </c>
    </row>
    <row r="20" customFormat="false" ht="15" hidden="false" customHeight="false" outlineLevel="0" collapsed="false">
      <c r="A20" s="5" t="s">
        <v>135</v>
      </c>
      <c r="B20" s="29" t="n">
        <v>6</v>
      </c>
      <c r="C20" s="30" t="n">
        <v>320</v>
      </c>
    </row>
    <row r="21" customFormat="false" ht="15" hidden="false" customHeight="false" outlineLevel="0" collapsed="false">
      <c r="A21" s="5" t="s">
        <v>136</v>
      </c>
      <c r="B21" s="29" t="n">
        <v>2</v>
      </c>
      <c r="C21" s="30" t="n">
        <v>136</v>
      </c>
    </row>
    <row r="22" customFormat="false" ht="15" hidden="false" customHeight="false" outlineLevel="0" collapsed="false">
      <c r="A22" s="5" t="s">
        <v>137</v>
      </c>
      <c r="B22" s="29" t="n">
        <v>0</v>
      </c>
      <c r="C22" s="30" t="n">
        <v>0</v>
      </c>
    </row>
    <row r="23" customFormat="false" ht="15" hidden="false" customHeight="false" outlineLevel="0" collapsed="false">
      <c r="A23" s="5" t="s">
        <v>138</v>
      </c>
      <c r="B23" s="29" t="n">
        <v>0</v>
      </c>
      <c r="C23" s="30" t="n">
        <v>0</v>
      </c>
    </row>
    <row r="24" customFormat="false" ht="15" hidden="false" customHeight="false" outlineLevel="0" collapsed="false">
      <c r="A24" s="5" t="s">
        <v>139</v>
      </c>
      <c r="B24" s="29" t="n">
        <v>0</v>
      </c>
      <c r="C24" s="30" t="n">
        <v>0</v>
      </c>
    </row>
    <row r="25" customFormat="false" ht="15" hidden="false" customHeight="false" outlineLevel="0" collapsed="false">
      <c r="A25" s="5" t="s">
        <v>140</v>
      </c>
      <c r="B25" s="29" t="n">
        <v>34</v>
      </c>
      <c r="C25" s="30" t="n">
        <v>501.25</v>
      </c>
    </row>
    <row r="26" customFormat="false" ht="15" hidden="false" customHeight="false" outlineLevel="0" collapsed="false">
      <c r="A26" s="5" t="s">
        <v>141</v>
      </c>
      <c r="B26" s="29" t="n">
        <v>36</v>
      </c>
      <c r="C26" s="30" t="n">
        <v>1960</v>
      </c>
    </row>
    <row r="27" customFormat="false" ht="15" hidden="false" customHeight="false" outlineLevel="0" collapsed="false">
      <c r="A27" s="5" t="s">
        <v>142</v>
      </c>
      <c r="B27" s="29" t="n">
        <v>4</v>
      </c>
      <c r="C27" s="30" t="n">
        <v>290</v>
      </c>
    </row>
    <row r="28" customFormat="false" ht="15" hidden="false" customHeight="false" outlineLevel="0" collapsed="false">
      <c r="A28" s="13" t="s">
        <v>101</v>
      </c>
      <c r="B28" s="20" t="n">
        <f aca="false">SUM(B4:B27)</f>
        <v>158</v>
      </c>
      <c r="C28" s="21" t="n">
        <f aca="false">SUM(C4:C27)</f>
        <v>7693.84</v>
      </c>
    </row>
    <row r="29" customFormat="false" ht="15" hidden="false" customHeight="false" outlineLevel="0" collapsed="false">
      <c r="A29" s="31" t="s">
        <v>143</v>
      </c>
      <c r="B29" s="2"/>
      <c r="C2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144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145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0" hidden="false" customHeight="true" outlineLevel="0" collapsed="false">
      <c r="A4" s="4" t="s">
        <v>116</v>
      </c>
      <c r="B4" s="4" t="s">
        <v>146</v>
      </c>
      <c r="C4" s="4" t="s">
        <v>147</v>
      </c>
      <c r="D4" s="4" t="s">
        <v>110</v>
      </c>
      <c r="E4" s="4" t="s">
        <v>148</v>
      </c>
    </row>
    <row r="5" customFormat="false" ht="15" hidden="false" customHeight="false" outlineLevel="0" collapsed="false">
      <c r="A5" s="5" t="s">
        <v>149</v>
      </c>
      <c r="B5" s="20" t="n">
        <f aca="false">SUMPRODUCT((RIGHT('Monthly History'!$A$4:$A$27,2)="01")*'Monthly History'!$B$4:$B$27)</f>
        <v>3</v>
      </c>
      <c r="C5" s="32" t="n">
        <f aca="false">IF($B$17=0,1/12,B5/$B$17)</f>
        <v>0.0189873417721519</v>
      </c>
      <c r="D5" s="20" t="n">
        <f aca="false">C5*'2027 Plan'!$I$27</f>
        <v>2.58227848101266</v>
      </c>
      <c r="E5" s="20" t="n">
        <f aca="false">SUM($D$5:D5)</f>
        <v>2.58227848101266</v>
      </c>
    </row>
    <row r="6" customFormat="false" ht="15" hidden="false" customHeight="false" outlineLevel="0" collapsed="false">
      <c r="A6" s="5" t="s">
        <v>150</v>
      </c>
      <c r="B6" s="20" t="n">
        <f aca="false">SUMPRODUCT((RIGHT('Monthly History'!$A$4:$A$27,2)="02")*'Monthly History'!$B$4:$B$27)</f>
        <v>6</v>
      </c>
      <c r="C6" s="32" t="n">
        <f aca="false">IF($B$17=0,1/12,B6/$B$17)</f>
        <v>0.0379746835443038</v>
      </c>
      <c r="D6" s="20" t="n">
        <f aca="false">C6*'2027 Plan'!$I$27</f>
        <v>5.16455696202532</v>
      </c>
      <c r="E6" s="20" t="n">
        <f aca="false">SUM($D$5:D6)</f>
        <v>7.74683544303798</v>
      </c>
    </row>
    <row r="7" customFormat="false" ht="15" hidden="false" customHeight="false" outlineLevel="0" collapsed="false">
      <c r="A7" s="5" t="s">
        <v>151</v>
      </c>
      <c r="B7" s="20" t="n">
        <f aca="false">SUMPRODUCT((RIGHT('Monthly History'!$A$4:$A$27,2)="03")*'Monthly History'!$B$4:$B$27)</f>
        <v>2</v>
      </c>
      <c r="C7" s="32" t="n">
        <f aca="false">IF($B$17=0,1/12,B7/$B$17)</f>
        <v>0.0126582278481013</v>
      </c>
      <c r="D7" s="20" t="n">
        <f aca="false">C7*'2027 Plan'!$I$27</f>
        <v>1.72151898734177</v>
      </c>
      <c r="E7" s="20" t="n">
        <f aca="false">SUM($D$5:D7)</f>
        <v>9.46835443037975</v>
      </c>
    </row>
    <row r="8" customFormat="false" ht="15" hidden="false" customHeight="false" outlineLevel="0" collapsed="false">
      <c r="A8" s="5" t="s">
        <v>152</v>
      </c>
      <c r="B8" s="20" t="n">
        <f aca="false">SUMPRODUCT((RIGHT('Monthly History'!$A$4:$A$27,2)="04")*'Monthly History'!$B$4:$B$27)</f>
        <v>0</v>
      </c>
      <c r="C8" s="32" t="n">
        <f aca="false">IF($B$17=0,1/12,B8/$B$17)</f>
        <v>0</v>
      </c>
      <c r="D8" s="20" t="n">
        <f aca="false">C8*'2027 Plan'!$I$27</f>
        <v>0</v>
      </c>
      <c r="E8" s="20" t="n">
        <f aca="false">SUM($D$5:D8)</f>
        <v>9.46835443037975</v>
      </c>
    </row>
    <row r="9" customFormat="false" ht="15" hidden="false" customHeight="false" outlineLevel="0" collapsed="false">
      <c r="A9" s="5" t="s">
        <v>153</v>
      </c>
      <c r="B9" s="20" t="n">
        <f aca="false">SUMPRODUCT((RIGHT('Monthly History'!$A$4:$A$27,2)="05")*'Monthly History'!$B$4:$B$27)</f>
        <v>0</v>
      </c>
      <c r="C9" s="32" t="n">
        <f aca="false">IF($B$17=0,1/12,B9/$B$17)</f>
        <v>0</v>
      </c>
      <c r="D9" s="20" t="n">
        <f aca="false">C9*'2027 Plan'!$I$27</f>
        <v>0</v>
      </c>
      <c r="E9" s="20" t="n">
        <f aca="false">SUM($D$5:D9)</f>
        <v>9.46835443037975</v>
      </c>
    </row>
    <row r="10" customFormat="false" ht="15" hidden="false" customHeight="false" outlineLevel="0" collapsed="false">
      <c r="A10" s="5" t="s">
        <v>154</v>
      </c>
      <c r="B10" s="20" t="n">
        <f aca="false">SUMPRODUCT((RIGHT('Monthly History'!$A$4:$A$27,2)="06")*'Monthly History'!$B$4:$B$27)</f>
        <v>6</v>
      </c>
      <c r="C10" s="32" t="n">
        <f aca="false">IF($B$17=0,1/12,B10/$B$17)</f>
        <v>0.0379746835443038</v>
      </c>
      <c r="D10" s="20" t="n">
        <f aca="false">C10*'2027 Plan'!$I$27</f>
        <v>5.16455696202532</v>
      </c>
      <c r="E10" s="20" t="n">
        <f aca="false">SUM($D$5:D10)</f>
        <v>14.6329113924051</v>
      </c>
    </row>
    <row r="11" customFormat="false" ht="15" hidden="false" customHeight="false" outlineLevel="0" collapsed="false">
      <c r="A11" s="5" t="s">
        <v>155</v>
      </c>
      <c r="B11" s="20" t="n">
        <f aca="false">SUMPRODUCT((RIGHT('Monthly History'!$A$4:$A$27,2)="07")*'Monthly History'!$B$4:$B$27)</f>
        <v>45</v>
      </c>
      <c r="C11" s="32" t="n">
        <f aca="false">IF($B$17=0,1/12,B11/$B$17)</f>
        <v>0.284810126582279</v>
      </c>
      <c r="D11" s="20" t="n">
        <f aca="false">C11*'2027 Plan'!$I$27</f>
        <v>38.7341772151899</v>
      </c>
      <c r="E11" s="20" t="n">
        <f aca="false">SUM($D$5:D11)</f>
        <v>53.3670886075949</v>
      </c>
    </row>
    <row r="12" customFormat="false" ht="15" hidden="false" customHeight="false" outlineLevel="0" collapsed="false">
      <c r="A12" s="5" t="s">
        <v>156</v>
      </c>
      <c r="B12" s="20" t="n">
        <f aca="false">SUMPRODUCT((RIGHT('Monthly History'!$A$4:$A$27,2)="08")*'Monthly History'!$B$4:$B$27)</f>
        <v>37</v>
      </c>
      <c r="C12" s="32" t="n">
        <f aca="false">IF($B$17=0,1/12,B12/$B$17)</f>
        <v>0.234177215189873</v>
      </c>
      <c r="D12" s="20" t="n">
        <f aca="false">C12*'2027 Plan'!$I$27</f>
        <v>31.8481012658228</v>
      </c>
      <c r="E12" s="20" t="n">
        <f aca="false">SUM($D$5:D12)</f>
        <v>85.2151898734177</v>
      </c>
    </row>
    <row r="13" customFormat="false" ht="15" hidden="false" customHeight="false" outlineLevel="0" collapsed="false">
      <c r="A13" s="5" t="s">
        <v>157</v>
      </c>
      <c r="B13" s="20" t="n">
        <f aca="false">SUMPRODUCT((RIGHT('Monthly History'!$A$4:$A$27,2)="09")*'Monthly History'!$B$4:$B$27)</f>
        <v>4</v>
      </c>
      <c r="C13" s="32" t="n">
        <f aca="false">IF($B$17=0,1/12,B13/$B$17)</f>
        <v>0.0253164556962025</v>
      </c>
      <c r="D13" s="20" t="n">
        <f aca="false">C13*'2027 Plan'!$I$27</f>
        <v>3.44303797468354</v>
      </c>
      <c r="E13" s="20" t="n">
        <f aca="false">SUM($D$5:D13)</f>
        <v>88.6582278481013</v>
      </c>
    </row>
    <row r="14" customFormat="false" ht="15" hidden="false" customHeight="false" outlineLevel="0" collapsed="false">
      <c r="A14" s="5" t="s">
        <v>158</v>
      </c>
      <c r="B14" s="20" t="n">
        <f aca="false">SUMPRODUCT((RIGHT('Monthly History'!$A$4:$A$27,2)="10")*'Monthly History'!$B$4:$B$27)</f>
        <v>15</v>
      </c>
      <c r="C14" s="32" t="n">
        <f aca="false">IF($B$17=0,1/12,B14/$B$17)</f>
        <v>0.0949367088607595</v>
      </c>
      <c r="D14" s="20" t="n">
        <f aca="false">C14*'2027 Plan'!$I$27</f>
        <v>12.9113924050633</v>
      </c>
      <c r="E14" s="20" t="n">
        <f aca="false">SUM($D$5:D14)</f>
        <v>101.569620253165</v>
      </c>
    </row>
    <row r="15" customFormat="false" ht="15" hidden="false" customHeight="false" outlineLevel="0" collapsed="false">
      <c r="A15" s="5" t="s">
        <v>159</v>
      </c>
      <c r="B15" s="20" t="n">
        <f aca="false">SUMPRODUCT((RIGHT('Monthly History'!$A$4:$A$27,2)="11")*'Monthly History'!$B$4:$B$27)</f>
        <v>35</v>
      </c>
      <c r="C15" s="32" t="n">
        <f aca="false">IF($B$17=0,1/12,B15/$B$17)</f>
        <v>0.221518987341772</v>
      </c>
      <c r="D15" s="20" t="n">
        <f aca="false">C15*'2027 Plan'!$I$27</f>
        <v>30.126582278481</v>
      </c>
      <c r="E15" s="20" t="n">
        <f aca="false">SUM($D$5:D15)</f>
        <v>131.696202531646</v>
      </c>
    </row>
    <row r="16" customFormat="false" ht="15" hidden="false" customHeight="false" outlineLevel="0" collapsed="false">
      <c r="A16" s="5" t="s">
        <v>160</v>
      </c>
      <c r="B16" s="20" t="n">
        <f aca="false">SUMPRODUCT((RIGHT('Monthly History'!$A$4:$A$27,2)="12")*'Monthly History'!$B$4:$B$27)</f>
        <v>5</v>
      </c>
      <c r="C16" s="32" t="n">
        <f aca="false">IF($B$17=0,1/12,B16/$B$17)</f>
        <v>0.0316455696202532</v>
      </c>
      <c r="D16" s="20" t="n">
        <f aca="false">C16*'2027 Plan'!$I$27</f>
        <v>4.30379746835443</v>
      </c>
      <c r="E16" s="20" t="n">
        <f aca="false">SUM($D$5:D16)</f>
        <v>136</v>
      </c>
    </row>
    <row r="17" customFormat="false" ht="15" hidden="false" customHeight="false" outlineLevel="0" collapsed="false">
      <c r="A17" s="13" t="s">
        <v>101</v>
      </c>
      <c r="B17" s="18" t="n">
        <f aca="false">SUM(B5:B16)</f>
        <v>158</v>
      </c>
      <c r="C17" s="33" t="n">
        <f aca="false">SUM(C5:C16)</f>
        <v>1</v>
      </c>
      <c r="D17" s="18" t="n">
        <f aca="false">SUM(D5:D16)</f>
        <v>136</v>
      </c>
      <c r="E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2026-10-09T23:43:26Z</dcterms:created>
  <dc:creator>openpyxl</dc:creator>
  <dc:description/>
  <dc:language>en-US</dc:language>
  <cp:lastModifiedBy/>
  <dcterms:modified xsi:type="dcterms:W3CDTF">2026-10-09T23:43:26Z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